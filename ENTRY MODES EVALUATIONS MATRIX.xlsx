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defaultThemeVersion="124226"/>
  <mc:AlternateContent xmlns:mc="http://schemas.openxmlformats.org/markup-compatibility/2006">
    <mc:Choice Requires="x15">
      <x15ac:absPath xmlns:x15ac="http://schemas.microsoft.com/office/spreadsheetml/2010/11/ac" url="https://eafit-my.sharepoint.com/personal/amlarah_eafit_edu_co/Documents/"/>
    </mc:Choice>
  </mc:AlternateContent>
  <xr:revisionPtr revIDLastSave="792" documentId="13_ncr:1_{CF672F21-E664-714B-94EE-8B38846F105D}" xr6:coauthVersionLast="47" xr6:coauthVersionMax="47" xr10:uidLastSave="{F3E04457-8C54-4BC6-9A10-1C82C7AB92E7}"/>
  <bookViews>
    <workbookView xWindow="-108" yWindow="-108" windowWidth="23256" windowHeight="12456" activeTab="1" xr2:uid="{00000000-000D-0000-FFFF-FFFF00000000}"/>
  </bookViews>
  <sheets>
    <sheet name="Internationalization Matrix" sheetId="1" r:id="rId1"/>
    <sheet name="Hoja1" sheetId="14" r:id="rId2"/>
    <sheet name="Rubric" sheetId="4" r:id="rId3"/>
    <sheet name="Direct Exports" sheetId="11" r:id="rId4"/>
    <sheet name="Indirect Exports" sheetId="10" r:id="rId5"/>
    <sheet name="Franchising" sheetId="12" r:id="rId6"/>
    <sheet name="Licensing" sheetId="13" r:id="rId7"/>
    <sheet name="Joint Ventures" sheetId="6" r:id="rId8"/>
    <sheet name="FDI" sheetId="7" r:id="rId9"/>
    <sheet name="Strategic Alliances" sheetId="8" r:id="rId10"/>
    <sheet name="Multilatinas"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B10" i="7"/>
  <c r="B10" i="8"/>
  <c r="H5" i="1"/>
  <c r="B10" i="12"/>
  <c r="B10" i="11"/>
  <c r="B11" i="10"/>
</calcChain>
</file>

<file path=xl/sharedStrings.xml><?xml version="1.0" encoding="utf-8"?>
<sst xmlns="http://schemas.openxmlformats.org/spreadsheetml/2006/main" count="464" uniqueCount="237">
  <si>
    <t>INTERNATIONALIZATION STRATEGY MATRIX FOR EVALUATION</t>
  </si>
  <si>
    <t>Advantages</t>
  </si>
  <si>
    <t>Disadvantages / Risks</t>
  </si>
  <si>
    <t>Opportunities</t>
  </si>
  <si>
    <t>Costs, Resources &amp; Implementation Time</t>
  </si>
  <si>
    <t>Legal/Cultural Barriers</t>
  </si>
  <si>
    <t>Legal/Cultural Benefits</t>
  </si>
  <si>
    <t>Consolidation Score</t>
  </si>
  <si>
    <t>Direct Export</t>
  </si>
  <si>
    <t>0 to 5</t>
  </si>
  <si>
    <t>-5 to 0</t>
  </si>
  <si>
    <t>Indirect Export</t>
  </si>
  <si>
    <t>Franchising</t>
  </si>
  <si>
    <t>Joint Ventures</t>
  </si>
  <si>
    <t>FDI</t>
  </si>
  <si>
    <t>Strategic Alliances</t>
  </si>
  <si>
    <t>Licensing</t>
  </si>
  <si>
    <t>Multilatinas</t>
  </si>
  <si>
    <t>SUGGESTION FOR THE COMPANY BASED ON RESULTS:</t>
  </si>
  <si>
    <t>Internationalization Strategies Evaluation Rubric</t>
  </si>
  <si>
    <t xml:space="preserve"> Score +4: Optimal Strategy</t>
  </si>
  <si>
    <t>Description: The strategy is exceptionally suited for the company and target market. Every criterion aligns perfectly, offering significant advantages, minimal risks, and outstanding opportunities.</t>
  </si>
  <si>
    <t>Implication: The chosen entry mode is highly recommended and is expected to yield optimal results.</t>
  </si>
  <si>
    <t xml:space="preserve"> Score +3 to +4: Very Strong Strategy</t>
  </si>
  <si>
    <t>Description: The strategy is very robust, with numerous advantages and opportunities. Risks are manageable, and disadvantages are minimal.</t>
  </si>
  <si>
    <t>Implication: It's a highly viable and promising option with a high potential for success.</t>
  </si>
  <si>
    <t xml:space="preserve"> Score +2 to +3: Suitable Strategy</t>
  </si>
  <si>
    <t>Description: The strategy is adequate, with several clear advantages. Risks are moderate, and opportunities are good.</t>
  </si>
  <si>
    <t>Implication: It's a viable option with a good potential for success, though it may require careful risk management.</t>
  </si>
  <si>
    <t xml:space="preserve"> Score +1 to +2: Moderately Suitable Strategy</t>
  </si>
  <si>
    <t>Description: The strategy presents benefits but also significant challenges. Risks and disadvantages are notable.</t>
  </si>
  <si>
    <t>Implication: It can be viable but requires careful evaluation and planning to mitigate risks.</t>
  </si>
  <si>
    <t xml:space="preserve"> Score 0 to +1: Marginally Suitable Strategy</t>
  </si>
  <si>
    <t>Description: The benefits of the strategy are limited and balanced by considerable risks and disadvantages.</t>
  </si>
  <si>
    <t>Implication: It can be viable but with significant reservations. Detailed assessment is required.</t>
  </si>
  <si>
    <t xml:space="preserve"> Score -1 to -2: Problematic Strategy</t>
  </si>
  <si>
    <t>Description: Risks and disadvantages outweigh the advantages. There are significant issues that need to be addressed.</t>
  </si>
  <si>
    <t>Implication: It's a less recommendable option, likely requiring substantial review or adjustments.</t>
  </si>
  <si>
    <t xml:space="preserve"> Score -2 to -3: Highly Problematic Strategy</t>
  </si>
  <si>
    <t>Description: The strategy has serious flaws. Risks are high, and advantages are scarce.</t>
  </si>
  <si>
    <t>Implication: Strongly advised to reconsider or discard this option.</t>
  </si>
  <si>
    <t xml:space="preserve"> Score -3 to -4: Extremely Inadequate Strategy</t>
  </si>
  <si>
    <t>Description: The strategy is almost wholly unsuitable. Risks are extremely high, and opportunities are minimal.</t>
  </si>
  <si>
    <t>Implication: This option should be avoided in most cases.</t>
  </si>
  <si>
    <t xml:space="preserve"> Score -4 OR Below: Completely Inadequate Strategy</t>
  </si>
  <si>
    <t>Description: The strategy is completely unsuitable for the company and target market. It presents critical risks and no substantial advantages.</t>
  </si>
  <si>
    <t>Implication: Should be entirely discarded as a viable option.</t>
  </si>
  <si>
    <t>Direct Exports</t>
  </si>
  <si>
    <t>NAME OF THE COMPANY</t>
  </si>
  <si>
    <t>ZENLUMINANCE</t>
  </si>
  <si>
    <t>PRODUCT OR SERVICE:</t>
  </si>
  <si>
    <t>Handcrafted scented candles infused with precious crystals</t>
  </si>
  <si>
    <t>VARIABLE</t>
  </si>
  <si>
    <t>POINTS GIVEN</t>
  </si>
  <si>
    <t>RUBRIC</t>
  </si>
  <si>
    <t xml:space="preserve">JUSTIFICATION </t>
  </si>
  <si>
    <t>MARKET CONDITIONS</t>
  </si>
  <si>
    <t>SOURCES OR EVIDENCE</t>
  </si>
  <si>
    <t xml:space="preserve"> +5: Exceptional advantages; offer significant strategic benefits and competitive edge.
+3: Considerable advantages; contribute positively to achieving business goals.
+1: Moderate advantages; provide some benefit but not game-changing.
0: No real advantages; offers no particular benefit to the business.</t>
  </si>
  <si>
    <t>Exporting directly allows for greater control over branding, pricing, and margins without intermediaries, also the U.S. market has a strong demand for home ambiance and self-care products, making aromatic candles a growing industry, therefore consumers are increasingly looking for natural, eco-friendly, and artisanal products, which aligns well with Colombian candles.</t>
  </si>
  <si>
    <t>The U.S. candle market was valued at over $3 billion in 2023 and continues to grow, also Retailers and e-commerce platforms like Amazon, Walmart, and specialty boutiques actively seek unique candle products.</t>
  </si>
  <si>
    <t xml:space="preserve">https://www.grandviewresearch.com/industry-analysis/candles-market.
</t>
  </si>
  <si>
    <t xml:space="preserve">https://www.custommarketinsights.com/report/us-candle-market/
</t>
  </si>
  <si>
    <t>Disadvantages</t>
  </si>
  <si>
    <t>0: No disadvantages; no apparent negative aspects. / Moderate risks; require attention but are generally balanced with opportunities.
-1: Minor disadvantages; easily manageable without significant impact.
-3: Significant disadvantages; require strategic planning to manage. / High risks; could potentially hinder success and require substantial mitigation strategies.
-5: Severe disadvantages; could critically hamper business success. / Extreme risks; could jeopardize the entire venture, requiring urgent and extensive mitigation.</t>
  </si>
  <si>
    <t>The U.S. candle industry is saturated with established brands like Yankee Candle and Bath &amp; Body Works, making it challenging for new entrants, we also need to consider that direct exports involve higher transportation, warehousing, and marketing expenses compared to working with local distributors.</t>
  </si>
  <si>
    <t>U.S. consumers have strong brand loyalty, making it harder for foreign brands to compete.</t>
  </si>
  <si>
    <t>https://www.archivemarketresearch.com/reports/us-scented-candles-market-137</t>
  </si>
  <si>
    <t xml:space="preserve"> +5: Exceptional opportunities; can significantly transform the business.
+3: Significant opportunities; offer clear paths to market expansion and profit.
+1: Moderate opportunities; provide some potential for growth or improvement.
0: No opportunities; offers no growth or improvement potential.</t>
  </si>
  <si>
    <t>The U.S. scented candle market is growing significantly, with a rising interest in wellness, aromatherapy, and eco-friendly products, we can considerate that platforms like Amazon, Etsy, and Shopify allow brands to sell directly to U.S. consumers without needing distributors, and finally consumers are willing to pay premium prices for candles made from soy wax, essential oils, and eco-friendly packaging.</t>
  </si>
  <si>
    <t>Eco-conscious consumers represent a growing segment, looking for organic and handmade products, also retailers and online marketplaces are actively searching for unique and artisanal candle brands to meet rising demand.</t>
  </si>
  <si>
    <t>0: Minimal costs/resources needed; easily manageable within current capabilities. /Very quick; implementation can be achieved rapidly with minimal delays.
-1: Moderate costs/resources; require some investment but manageable. /Moderately quick; some delays expected but nothing significant.
-3: High costs/resources; significant investment needed, impacting financial planning. / Slow; implementation takes considerable time, causing potential market entry delays.
-5: Prohibitive costs/resources; excessively high, posing a serious financial challenge. / Very slow; excessively long implementation could significantly hinder market entry.</t>
  </si>
  <si>
    <t>Direct export involves high transportation costs, especially for small shipments without economies of scale, we also need to consider that without a U.S.-based distribution partner, storing and managing inventory can increase operational costs.</t>
  </si>
  <si>
    <t>Import duties and tariffs can fluctuate, impacting final pricing, also Retailer requirements for safety certifications can delay the launch process.</t>
  </si>
  <si>
    <t>https://usacustomsclearance.com/process/importing-candles/</t>
  </si>
  <si>
    <t>Legal / Cultural Barriers</t>
  </si>
  <si>
    <t>0: No barriers; seamless integration into market without legal/cultural hindrances.
-1: Minor barriers; require some adjustments but not difficult to overcome.
-3: Significant barriers; pose considerable challenges, requiring substantial efforts.
-5: Severe barriers; extremely challenging, potentially preventing successful entry.</t>
  </si>
  <si>
    <t>The Consumer Product Safety Commission (CPSC) requires flammability testing, labeling, and material safety disclosures, adding complexity to market entry, also considering that some U.S. states, like California (Prop 65), have additional restrictions on chemical ingredients in scented products, requiring extra compliance measures.</t>
  </si>
  <si>
    <t>Federal and state-level regulations create multiple layers of compliance, making the process time-consuming, considering also that major retailers often require third-party safety certifications, increasing costs and time to market</t>
  </si>
  <si>
    <t>https://www.ftc.gov/legal-library/browse/rules/fair-packaging-labeling-act-regulations-under-section-4-fair-packaging-labeling-act</t>
  </si>
  <si>
    <t>https://candles.org/facts-figures-2/</t>
  </si>
  <si>
    <t>Legal / Cultural Benefits</t>
  </si>
  <si>
    <t xml:space="preserve"> +5: Exceptional benefits; significantly enhance the business strategy and operations.
+3: Considerable benefits; provide a strong supportive environment for business.
+1: Moderate benefits; offer some level of support or ease in operations.
0: No benefits; do not contribute to business strategy or ease of operations.</t>
  </si>
  <si>
    <t>The U.S. has clear and structured trade laws, providing legal certainty for foreign businesses, and for Colombia benefits from trade agreements that reduce tariffs and simplify export procedures.</t>
  </si>
  <si>
    <t>The U.S. enforces strong intellectual property protection, helping businesses safeguard their branding and product innovations, also american consumers are highly engaged with online shopping, making it easier to enter the market via e-commerce platforms.</t>
  </si>
  <si>
    <t>https://ustr.gov/trade-agreements/free-trade-agreements/colombia-tpa</t>
  </si>
  <si>
    <t>DISCUSSIONS:
Disscusing we agreed that our last score of 2 reflects the truth that, whereas the U.S. showcase offers noteworthy openings, the costs, competition, and administrative prerequisites make eminent challenges, Success in this market depends on strategic cost management, compliance with regulations, and leveraging e-commerce channels to optimize sales and brand positioning.</t>
  </si>
  <si>
    <t>OBSERVATIONS:
- During our research, we encountered several challenges related to data availability, trade regulations, and market trends. Finding updated and specific data on our product was difficult, as most reports focus on domestic production rather than foreign suppliers, and many in-depth market insights are behind paywalls. Additionally, while Colombia benefits from "trade agreements with the U.S.", it was challenging to determine exact tariff reductions or exemptions specific to aromatic candles. Regulatory requirements also vary, with state-level laws imposing additional chemical restrictions, but enforcement details for foreign imports remain unclear.</t>
  </si>
  <si>
    <t xml:space="preserve"> Indirect Exports</t>
  </si>
  <si>
    <t>JUSTIFICATION</t>
  </si>
  <si>
    <t>The unique differentiation of candles with precious crystals aligns with wellness trends in the U.S. Production in Colombia allows for competitive pricing, 20-30% lower than local brands like Yankee Candle. Additionally, the use of sustainable materials such as soy wax and recyclable packaging appeals to eco-conscious consumers, a segment growing at 8% annually (Nielsen).</t>
  </si>
  <si>
    <t>https://www.grandviewresearch.com/industry-analysis/candles-market   https://www.custommarketinsights.com/report/us-candle-market/     https://www.nielsen.com/news-center/2023/nielsen-study-reveals-sustainability-themed-advertising-is-here-to-stay/</t>
  </si>
  <si>
    <t>Initial adaptation costs, such as certifications (CPSC) and English labeling, require an investment of USD 5,000-10,000 (Trade.gov). Shipping logistics from Colombia (15-30 days) could affect the freshness of fragrances, and competition from established brands like Bath &amp; Body Works, which dominate 30% of the market (IBISWorld), poses a challenge. However, the growing demand for artisanal products in niche markets mitigates this risk.</t>
  </si>
  <si>
    <t>https://www.archivemarketresearch.com/reports/us-scented-candles-market-137    https://www.cpsc.gov/Business--Manufacturing/Business-Education/Business-Guidance/Candles   https://www.trade.gov/us-colombia-tpa     https://www.ibisworld.com/united-states/industry/candle-manufacturing/4260/</t>
  </si>
  <si>
    <t>The growth of e-commerce, where 45% of U.S. consumers purchase wellness products online (Statista), provides a strong platform for artisanal products like these candles. The U.S.-Colombia Free Trade Agreement reduces tariffs to 3.9% for candles, enhancing profitability. Additionally, partnerships with retailers can help position the product as a premium offering.</t>
  </si>
  <si>
    <t>https://www.custommarketinsights.com/report/us-candle-market/      https://www.statista.com/topics/2477/online-shopping-behavior/#topicOverview    https://www.trade.gov/us-colombia-tpa</t>
  </si>
  <si>
    <t>Initial costs are estimated at USD 15,000-20,000, covering certifications, samples, and initial shipments. The implementation timeline is 6-8 months, including supplier validation, regulatory compliance, and establishing partnerships with local distributors. Hiring an export agent or trading company with U.S. experience is recommended to streamline the process.</t>
  </si>
  <si>
    <t>https://procolombia.co/publicaciones/guia-para-exportar-cosmeticos-eeuu   https://usacustomsclearance.com/process/importing-candles/</t>
  </si>
  <si>
    <t>Compliance with CPSC regulations and English labeling requires legal advice, and fragrances may need to be adjusted to local preferences</t>
  </si>
  <si>
    <t>https://www.cpsc.gov/Business--Manufacturing/Business-Education/Business-Guidance/Candles</t>
  </si>
  <si>
    <t>The Colombian origin of the product, associated with biodiversity and craftsmanship, appeals to the 18% of consumers who prefer ethnic products (Mintel).</t>
  </si>
  <si>
    <t>https://www.mintel.com/insights/media-and-advertising/sustainability-update-consumer-trends-and-business-developments-brands-need-to-know-about/</t>
  </si>
  <si>
    <t>DISCUSSIONS:</t>
  </si>
  <si>
    <t>OBSERVATIONS:</t>
  </si>
  <si>
    <t xml:space="preserve">PRODUCT OR SERVICE: </t>
  </si>
  <si>
    <t xml:space="preserve">Franchising in the U.S. offers access to a massive and diversified market with high growth potential, strengthening brand image internationally. It allows for economies of scale and operational efficiency, diversifies revenue through royalties and fees. Additionally, it facilitates strategic partnerships with suppliers and distributors for expansion. </t>
  </si>
  <si>
    <t xml:space="preserve">The scented candle market offers a growth niche for sustainable products (candles, organic oils, vegetable wax), wellness (aromatherapy), and personalized items (limited editions, registered names). E-commerce enables online sales, providing convenience, diversity, and a wide range of products. Additionally, collaborations and partnerships with spas, decoration stores, or influencers can be implemented to achieve differentiation and added value with unique fragrances, exclusive designs, and unforgettable shopping experiences. </t>
  </si>
  <si>
    <t xml:space="preserve">https://www.franchise.org.  </t>
  </si>
  <si>
    <t>https://www.databridgemarketresearch.com/es/reports/global-scented-candle-market</t>
  </si>
  <si>
    <t>Presents high risks due to market saturation that hinders product differentiation, complex regulatory compliance, and cultural differences such as design or fragrance preferences, coupled with high operating costs like labor and product rentals. Ultimately, these deficiencies make reconsidering the option necessary as it is highly risky.</t>
  </si>
  <si>
    <t>The U.S. market presents significant disadvantages for Colombian aromatic candles, such as high logistical costs and currency fluctuations that affect profitability, intense competition that hinders differentiation, strict regulations (FDA) regarding product safety, labeling, and ingredients that increase costs, and distinct consumer preferences that require adaptations. These combined factors represent substantial obstacles to market entry and success.</t>
  </si>
  <si>
    <t>- https://www.bls.gov. https://www.franchise.org https://www.informesdeexpertos.com/informes/mercado-de-velas</t>
  </si>
  <si>
    <t>https://www.registrarcorp.com/es/blog/drugs-es/drug-regulations-es/fda-regulations-for-aromatherapy-drug-cosmetic-both-or-neither/</t>
  </si>
  <si>
    <t>The development of specialized niches (meditation candles, Colombian ingredients and customization) allows us to attract specific segments with high demand, capitalizing on the wellness trend, with aromatherapy candles and limited editions for key dates, guarantees sales peaks. These specific actions, by capitalizing on trends and taking advantage of key platforms, would be good opportunities</t>
  </si>
  <si>
    <t>The US market for scented candles is growing, driven by premium segments and eco-friendly products. This market leads the global market, with demand for functional aromatherapy (lavender, vanilla) and artisanal designs, contrasting with Chinese mass production, online sales represent 42% of the market, facilitating access to niches such as millennials and Gen Z, while festivities concentrate 35% of annual sales, ideal for limited editions. The hotel and spa sector demands candles for relaxing environments, opening up B2B opportunities.</t>
  </si>
  <si>
    <t>https://www.franchise.org</t>
  </si>
  <si>
    <t>https://www.fortunebusinessinsights.com/es/scented-candles-market-104388</t>
  </si>
  <si>
    <t>This implies high costs in research, regulatory adaptation (FDA), and marketing. Significant investment is required in financial and human resources, and the implementation time is prolonged (adaptation, franchisee selection, logistics). These factors, combined with logistical complexity and cultural adaptation, impact financial planning and may delay market entry.</t>
  </si>
  <si>
    <t>Introducing Colombian aromatic candles to the U.S. involves high costs and time in adapting to FDA regulations (labeling, ingredients), requiring tests and certifications with variable costs. Logistics from Colombia, including shipments, tariffs, and storage. Marketing and brand adaptation require investment in digital advertising and cultural adaptation. Legal advice, trademark registration, and market research are processes that consume time and resources. Also, the regional diversity of the market demands strategies adapted to each region, increasing costs and complexity.</t>
  </si>
  <si>
    <t>https://www.fda.gov</t>
  </si>
  <si>
    <t>https://www.cbp.gov</t>
  </si>
  <si>
    <t>Federal and state regulations (FDA) impose strict requirements for labeling, ingredients, and safety testing, creating additional costs and delays. Cultural differences in fragrance preferences, designs, and wax types necessitate deep adaptation based on detailed market researchFinally, it is important to protect intellectual property (trademarks, patents), which requires legal counsel to avoid costly legal disputes. These factors demand substantial effort and considerable investment.</t>
  </si>
  <si>
    <t>The U.S. market demands strict compliance with regulations such as lead-free wick prohibition (CPSC), mandatory labeling (FPLA), and ASTM standards for safety. Customs procedures include customs bonds and detailed documentation. Culturally, consumers prioritize sustainability (natural wax, eco-friendly), functional aromatherapy (lavender, vanilla), and premium designs, contrasting with Chinese mass production. Competition is high (brands like Yankee Candle), with sales concentrated during holidays (35%) and through e-commerce (42%). To stand out, certifications, local partnerships, and authentic narratives are required. The market demands a balance between safety, cultural adaptation, and differentiation</t>
  </si>
  <si>
    <t>https://www.gminsights.com/es/industry-analysis/us-aroma-chemicals-market</t>
  </si>
  <si>
    <t xml:space="preserve">https://www.fortunebusinessinsights.com/es/scented-candles-market-104388                                                     </t>
  </si>
  <si>
    <t>plomo (CPSC), etiquetado obligatorio (FPLA) y estándares ASTM para seguridad</t>
  </si>
  <si>
    <t xml:space="preserve">Intellectual property protection is robust, but involves upfront costs and oversight. Access to a diversified market requires precise segmentation and adaptation to specific niches (organic, aromatherapy). The sustainable trend is favorable, but competition requires certifications and authentic narratives. The legal infrastructure for franchises is solid, but state variations require ongoing counsel. Previous barriers (FDA, culture, logistics) limit these benefits, requiring constant adaptation and significant investment in marketing and compliance. </t>
  </si>
  <si>
    <t>The US market offers key legal benefits for Colombia, the exemption of tariffs (unlike China) facilitates the entry of Colombian candles, while compliance with regulations (CPSC and FPLA labeling) guarantees unrestricted access, allowing logistical planning with predictable customs procedures. Culturally, the US values ​​authenticity and sustainability (they prefer natural wax), aligning with wellness and mental health trends (functional aromatherapy like lavender).</t>
  </si>
  <si>
    <t>https://boletines.exportemos.pe/recursos/boletin/27332.PDF</t>
  </si>
  <si>
    <t>https://elementor.com/blog/es/como-iniciar-un-negocio-de-velas-en-year-la-guia-definitiva-para-iniciar-un-prospero-negocio-de-velas/</t>
  </si>
  <si>
    <t>(ejemplo: aromas inspirados en café colombiano)</t>
  </si>
  <si>
    <t>https://www.uspto.gov</t>
  </si>
  <si>
    <t xml:space="preserve">We decided to give the franchise option an overall score of 0 because, while it has significant advantages such as access to a large market and the ability to strengthen the brand (+5), it also faces critical disadvantages (-5) due to market saturation and strict regulations in the U.S. We saw growth opportunities in trends such as natural and customized products (+3), but the high costs of customization, certifications and logistics (-3), along with significant legal and cultural barriers (-3), balance those benefits. While there are some legal and intellectual property benefits (+1), they are not strong enough to offset the challenges. </t>
  </si>
  <si>
    <t>LICENSING</t>
  </si>
  <si>
    <t>The U.S. provides a highly developed infrastructure, access to a massive consumer base, and a stable political and economic environment that fosters business growth. The country has well-established trade agreements that facilitate foreign investments, ensuring a competitive yet secure market for international companies. Furthermore, strong intellectual property protection laws and a culture of innovation encourage new businesses to thrive.</t>
  </si>
  <si>
    <t>The U.S. market is one of the largest in the world, with a high GDP per capita and a strong emphasis on technological advancements and consumer trends.</t>
  </si>
  <si>
    <t>www.worldbank.org</t>
  </si>
  <si>
    <t>Despite its advantages, the U.S. market presents significant challenges, including high operational costs such as wages, taxes, and compliance expenses. The regulatory environment is complex, with varying federal and state laws that businesses must navigate, which can increase legal costs and administrative burdens. Additionally, competition is fierce, with established domestic and international players making market entry difficult for new businesses.</t>
  </si>
  <si>
    <t>The U.S. has strict business regulations that vary by industry and state, often requiring costly legal and administrative procedures.</t>
  </si>
  <si>
    <t>www.commerce.gov</t>
  </si>
  <si>
    <t>The U.S. is a global leader in multiple industries, including technology, healthcare, and finance. Businesses entering the market can leverage strong consumer demand, advanced digital infrastructure, and access to venture capital. Additionally, emerging trends in sustainability, e-commerce, and artificial intelligence present new business opportunities for innovative companies.</t>
  </si>
  <si>
    <t>Consumers in the U.S. have a strong preference for innovation and quality, making it an ideal market for new and differentiated products. The rise of e-commerce and digital services has further expanded opportunities for global businesses.</t>
  </si>
  <si>
    <t>https://www.nielsen.com</t>
  </si>
  <si>
    <t>Establishing a business in the U.S. requires significant financial resources, from registration and licensing fees to compliance with labor and tax regulations. Operational costs, including rent, wages, and insurance, are among the highest globally, and failure to meet financial obligations can result in legal penalties. Moreover, market entry often involves extended planning and adaptation periods due to regulatory requirements and competitive market dynamics.</t>
  </si>
  <si>
    <t>While capital is accessible, businesses need a solid financial plan and credit history to secure loans or attract investors. High living costs in major cities also translate into higher business expenses.</t>
  </si>
  <si>
    <t>https://www.sec.gov</t>
  </si>
  <si>
    <t>The U.S. legal system is highly regulated, with different laws at federal, state, and municipal levels. Businesses must comply with various legal requirements, such as labor laws, tax codes, and consumer protection regulations, which can be complex and costly. Cultural barriers also exist, as business practices, consumer behavior, and communication styles differ from other markets. Companies must conduct thorough market research and possibly hire legal advisors to ensure compliance.</t>
  </si>
  <si>
    <t>Protectionist policies and trade restrictions in certain sectors can hinder business expansion. Cultural adaptation and effective marketing strategies are necessary to engage with diverse consumer groups.</t>
  </si>
  <si>
    <t>The U.S. offers one of the most legally secure and business-friendly environments in the world. Trade agreements, strong intellectual property laws, and a pro-entrepreneurship culture encourage business development. Additionally, the availability of various business structures (LLC, Corporation, Sole Proprietorship) allows for flexibility in operations. The country has a transparent legal system that protects business rights and facilitates contract enforcement, ensuring fair competition.</t>
  </si>
  <si>
    <t>The U.S. government supports innovation and entrepreneurship through tax incentives, grants, and research funding, making it easier for startups and established businesses to scale.</t>
  </si>
  <si>
    <t xml:space="preserve">Final score of 4 because, although we identified some important disadvantages and costs, the benefits and opportunities of the U.S. market were more decisive. We gave it +5 for advantages because of its developed infrastructure, large consumer market and intellectual property protection. Disadvantages received -3 due to its high operating costs and regulatory barriers, although not so severe as to deter entry. Opportunities were valued at +3, considering the strong demand for innovation and differentiated products. However, implementation costs and resources were rated -3 for being high and time-consuming. Legal/cultural barriers were also -3 due to the complexity of regulations and adaptation required. Finally, we gave +5 in benefits thanks to legal certainty, support for entrepreneurship and business incentives, which added up positively. </t>
  </si>
  <si>
    <t>Evaluation of risk-benefit in entering the U.S. market.
Strategies to mitigate regulatory and competition barriers.
Financial planning and investment strategies to ensure sustainable growth.
Cultural adaptation and marketing strategies to effectively reach U.S. consumers.</t>
  </si>
  <si>
    <t>Observation: Need for financial planning and legal advisory services for successful market entry.Importance of understanding industry-specific regulations and compliance requirements.
Potential need for partnerships or local representation to facilitate market entry.</t>
  </si>
  <si>
    <t>JOINT VENTURES</t>
  </si>
  <si>
    <t>By fusing aromatherapy and crystal healing, Zenluminance creates a distinctive product that fits with current wellness, mindfulness, and holistic health trends in the US. This gives the brand a significant competitive advantage in a developing market.</t>
  </si>
  <si>
    <t>With rising demand for spiritual and self-care products, the U.S. wellness market is expanding (Statista, 2023).</t>
  </si>
  <si>
    <t xml:space="preserve"> Wellness industry in the U.S. (2024, March 19). Statista. https://www.statista.com/topics/12049/wellness-industry-in-the-us/</t>
  </si>
  <si>
    <t>There are moderate risks associated with entering a saturated U.S. candle market. It will be crucial to differentiate your brand, particularly from big rivals like Bath &amp; Body Works and Yankee Candle.</t>
  </si>
  <si>
    <t xml:space="preserve"> High levels of competition and brand loyalty mean that marketing will be necessary to break into new markets.</t>
  </si>
  <si>
    <t>Candle Market Report, Size, Share, Trends | Forecast 2033. (n.d.). https://www.imarcgroup.com/candle-market</t>
  </si>
  <si>
    <t>American consumers are becoming more interested in artisanal products, spiritual activities, and conscious consumerism. This paves the way for growth through online platforms, metaphysical stores, and wellness shops.</t>
  </si>
  <si>
    <t xml:space="preserve"> The market for spiritual goods in the US is anticipated to expand gradually, particularly among Gen Z and Millennials.
</t>
  </si>
  <si>
    <t>Callaghan, S., Doner, H., Medalsy, J., Pione, A., &amp; Teichner, W. (2024, January 16). The trends defining the $1.8 trillion global wellness market in 2024. McKinsey &amp; Company. https://www.mckinsey.com/industries/consumer-packaged-goods/our-insights/the-trends-defining-the-1-point-8-trillion-dollar-global-wellness-market-in-2024</t>
  </si>
  <si>
    <t>Initial exportation, legal setup, and branding in the U.S. will require investment, but these are manageable with a lean start-up approach and digital marketing.</t>
  </si>
  <si>
    <t>Moderate setup costs; possible delays in customs or supply chain logistics.</t>
  </si>
  <si>
    <t>United States- Colombia Trade Promotion Agreement. (n.d.). United States Trade Representative. https://ustr.gov/trade-agreements/free-trade-agreements/colombia-tpa</t>
  </si>
  <si>
    <t>Although labeling (ingredients, origin, and fire safety) and business registration in the United States will need to be complied with, there are no significant legal restrictions. The product is already culturally compatible.</t>
  </si>
  <si>
    <t>Standard product regulations apply; culturally acceptable.</t>
  </si>
  <si>
    <t>Office of the Commissioner. (2023, September 8). Aromatherapy. U.S. Food And Drug Administration. https://www.fda.gov/cosmetics/cosmetic-products/aromatherapy</t>
  </si>
  <si>
    <t>American consumers are receptive to a variety of artisanal brands, particularly those from Latin America that have a backstory. Zenluminance is inherently compatible with the strong cultural receptivity to spiritual wellness.</t>
  </si>
  <si>
    <t>high level of customer appreciation for small-batch, spiritual, and distinctive products.</t>
  </si>
  <si>
    <t>ResearchFDI. (2024, December 13). Understanding the US Consumer Market: Key trends and Insights - ResearchFDI. ResearchFDI. https://researchfdi.com/understanding-the-us-consumer-market/</t>
  </si>
  <si>
    <t>Because of its creative strategy that combines artisanal and aesthetically pleasing products with emotional wellness, Zenluminance offers a business model with a high chance of success in the US market. The strategic benefits are obvious: the growing interest in personalized goods, modern spirituality, and conscious consumption make joint ventures an alluring prospect. There are obstacles, though, such as the requirement to differentiate oneself in a crowded market and adhere to legal requirements regarding imports and labeling. Collaborating with nearby American companies could facilitate market entry, shorten implementation periods, and strengthen ties with the end user.high level of customer appreciation for small-batch, spiritual, and distinctive products.</t>
  </si>
  <si>
    <t>OBSERVATIONS: To cut costs and gauge product acceptance, it is advised to begin with a digital entry strategy (Shopify, Etsy, social media).
Improving the brand's narrative will be essential to establishing an emotional bond with American customers.
Brand positioning could be accelerated through collaborations with yoga studios, spiritual boutiques, or wellness shops.</t>
  </si>
  <si>
    <t>FOREIGN DIRECT INVESTMENT</t>
  </si>
  <si>
    <t>The unique product (scented candles with precious crystals) offers a niche market appeal, combining wellness (crystals) with luxury (handcrafted candles). This differentiation provides a strong competitive edge and aligns with growing consumer trends in self-care and holistic living.</t>
  </si>
  <si>
    <t>High demand for artisanal, eco-friendly, and spiritually aligned products in markets like North America, Europe, and Asia.</t>
  </si>
  <si>
    <t>https://globalwellnessinstitute.org/press-room/statistics-and-facts/</t>
  </si>
  <si>
    <t>Potential challenges include higher production costs due to precious materials and limited scalability for handcrafted processes. However, these are manageable through premium pricing and targeted marketing.</t>
  </si>
  <si>
    <t>Sourcing precious crystals (amethyst, rose quartz) is costly due to ethical and sustainable mining requirements, increasing production costs by 20% </t>
  </si>
  <si>
    <t>https://www.responsiblemineralsinitiative.org/</t>
  </si>
  <si>
    <t>Expansion into wellness-focused retail partnerships (spas, yoga studios) and e-commerce platforms (Etsy, Amazon Handmade). Potential collaborations with influencers in the spirituality/luxury space.</t>
  </si>
  <si>
    <t>Handcrafted production limits economies of scale, making it difficult to compete with mass-produced candles </t>
  </si>
  <si>
    <t>https://researchfdi.com/foreign-direct-investment-advantages-disadvantages/</t>
  </si>
  <si>
    <t>Initial investment needed for materials (crystals, organic wax) and artisan labor, but scalable through small-batch production. E-commerce reduces brick-and-mortar costs.</t>
  </si>
  <si>
    <t>3–6 months to establish supply chains and digital storefronts.</t>
  </si>
  <si>
    <t>https://www.ibef.org/economy/foreign-direct-investment</t>
  </si>
  <si>
    <t>Compliance with safety regulations for candles (FDA, EU labeling) and ethical sourcing of crystals. Cultural sensitivity around spiritual claims (healing properties) may require careful branding.</t>
  </si>
  <si>
    <t>Strict safety standards for candles (flame retardants, ingredient disclosure) require certifications like FDA or CE marking, adding time/costs | Spiritual claims ("crystal healing") could face skepticism or legal challenges in secular markets</t>
  </si>
  <si>
    <t>https://www.taylorfrancis.com/chapters/edit/10.4324/9781032636962-11/cultural-barriers-foreign-direct-investments-wiktoria-rakowska-%C5%82ukasz-pu%C5%9Blecki-dorota-malicka</t>
  </si>
  <si>
    <t>Favorable regulations for eco-friendly products in target markets. Cultural alignment with wellness trends (e.g., crystal healing popular in Western and Asian markets).</t>
  </si>
  <si>
    <t>tates like California offer grants for eco-friendly and artisan businesses | Growing demand for "spiritual wellness" products in North America and Europe aligns with ZENLUMINANCE’s niche</t>
  </si>
  <si>
    <t>https://www.ibef.org/economy/foreign-direct-investment         https://researchfdi.com/benefits-fdi-foreign-direct-investment/</t>
  </si>
  <si>
    <t>OBSERVATIONS:   Strong Potential with Managed Risks: ZENLUMINANCE’s unique product (crystal-infused candles) aligns with booming wellness trends, giving it a competitive edge. However, higher production costs and scalability challenges require strategic pricing and niche positioning.
Legal/Cultural Barriers Are Manageable: Minor adjustments (compliance with FDA/EU labeling, avoiding unverified "healing" claims) are needed, but no deal-breakers.
Favorable Policies in Target Markets: U.S. demand for spiritual wellness products create a supportive environment.</t>
  </si>
  <si>
    <t>STRATEGIC ALLIANCES</t>
  </si>
  <si>
    <t xml:space="preserve">Having strategic alliances with the USA provides considerable variables for the entry of candles, this is thanks to the local knowledge that could be obtained by different companies, the facilitated access to the market as they help to compete in the world market, the credibility, the sharing of costs and resources, and the regulatory facility would pleasantly help the commercial objectives, overcoming challenges of selection and management of partners. 
</t>
  </si>
  <si>
    <t>The U.S. market is increasingly growing and presents very good conditions for partnerships. It is a country that values the specialization of unique and especially Colombian products, with high competition and infrastructure for established collaboration and a tendency towards sustainability and authenticity.</t>
  </si>
  <si>
    <t>https://www.statista.com</t>
  </si>
  <si>
    <t>https://candles.org</t>
  </si>
  <si>
    <t>In-depth planning is required for the management of a strategic alliance with the USA, because this market is very competitive, with large, established and chain brands that hinder the entry of exported and new products. 
At the same time, there are some challenges with the issue of sustainability, as many consumers demand ethically produced and environmentally friendly products, bringing with it high costs to meet this demand. It is important to mention the seasonal fluctuations that can affect sales, demanding personnel in inventory and marketing.</t>
  </si>
  <si>
    <t>The U.S. market has significant challenges such as high competition requiring partners with a clear characteristic advantage, local consumer preferences can vary considerably, requiring significant product adjustment. Strict rules (FDA, CPSC) need an experienced partner with regulatory representations. Logistics and the complexity of distribution in a large market require a partner with stable infrastructure. Finally, sensitivity to reputation and quality requires careful adaptation to brand values.</t>
  </si>
  <si>
    <t>https://www.custommarketinsights.com/report/us-candle-market/?utm_source=chatgpt.com</t>
  </si>
  <si>
    <t>The market presents good opportunities for this type of products, thanks to the prioritization of craftsmanship and sustainability. In recent years, the demand for personalized, eco-friendly candles with wellness benefits has opened up avenues for increased profitability and expansion into this market. It is important to mention that the market is competitive but the trends of care people favor the entry to unique products that charter quality.</t>
  </si>
  <si>
    <t xml:space="preserve">The U.S. market is expanding and growing, driving trends in personal care, wellness, personalization and sustainability. Consumers are also looking for products that offer attractive benefits, improve their mood and do more than just decorate. Finally, distribution channels are simplifying the identification of partners.  </t>
  </si>
  <si>
    <t>https://www.grandviewresearch.com/industry-analysis/candles-market&amp;#8203;:contentReference%5Boaicite:15%5D%7Bindex=15%7D</t>
  </si>
  <si>
    <t>https://www.commerce.gov</t>
  </si>
  <si>
    <t>Entering this market is expensive and involves costs such as identification and proper due diligence of the partner requiring an investment of time and possible advisory fees. Negotiations and contract formalization require specialized legal advice and considerable time.
Coordination and control of the alliance require special human resources and smooth communication. In addition, the implementation time is slow due to the difficult finding of the partner in question, the conditions for negotiations and adjusting operations, causing a possible delay in the market.</t>
  </si>
  <si>
    <t>The US market is very competitive with strong dominance of large established brands.  However, in this market there is a high demand for handmade and sustainable products, which provide opportunities for new entrants, which may vary in these aspects. The market is expected to grow at a compound annual growth rate of 3.91% to 2033, reaching a value of USD 5.20 billion indicating a favorable expansion environment if barriers to entry are exceeded.</t>
  </si>
  <si>
    <t>https://www.volza.com/p/scented-candle/import/import-in-united-states/</t>
  </si>
  <si>
    <t>There are significant cultural and social barriers to entering the U.S. market, an experienced and resourceful collaborator is needed for complex legislation (FDA, CPSC). For cultural nuances in tastes, a consultant with local knowledge is needed; communication and language barriers can impede cooperation, which is an important factor. In addition, strong covenants are required to protect common intellectual property, it is vital to adapt branding and marketing to cultural sensitivities, but will take significant steps to minimize significant risks that could jeopardize success.</t>
  </si>
  <si>
    <t>This market is estimated to reach USD 5.20 billion by 2033, at a compound annual growth rate (CAGR) of 3.91% between 2024 and 2033. In addition, demand varies from year to year, with peaks during the holiday season, which demands meticulous organization of production and stock.Customized Market Insights.
These market circumstances offer both possibilities and challenges for Colombian scented candle exporters, who must adjust to U.S. consumer norms and cultural tastes to thrive.</t>
  </si>
  <si>
    <t>https://www.trade.gov</t>
  </si>
  <si>
    <t>The United States offers moderate benefits for the export of candles to the U.S. Starting with the protection of intellectual property that this country handles, which is vigorous and requires precise agreements with the partner, in turn having access to the different cultural segments that the partner knows or understands more easily, the trend of products with ecological and sustainable benefits, can be capitalized by a partner. However, it is important to mention that aligning cultures requires management, planning and effort to overcome possible barriers encountered in the negotiation.</t>
  </si>
  <si>
    <t>From a legal standpoint, the United States offers a clear and structured regulatory framework, which facilitates planning for foreign companies. However, this same framework requires compliance with strict regulations (such as labeling under the FPLA and ASTM standards for safety), which can be a challenge initially. Culturally, although there is a growing appreciation of artisanal and sustainable products, this does not represent a decisive benefit without a clear positioning strategy.</t>
  </si>
  <si>
    <r>
      <t>We gave the strategic alliance option an overall score of </t>
    </r>
    <r>
      <rPr>
        <b/>
        <sz val="11"/>
        <color rgb="FF000000"/>
        <rFont val="Calibri"/>
        <family val="2"/>
        <scheme val="minor"/>
      </rPr>
      <t>+2</t>
    </r>
    <r>
      <rPr>
        <sz val="13.5"/>
        <color rgb="FF000000"/>
        <rFont val="Calibri"/>
        <family val="2"/>
        <scheme val="minor"/>
      </rPr>
      <t> because, although it offers strong opportunities (+5) and clear advantages like shared resources and local market knowledge (+3), it also faces important challenges. High implementation costs (-3), market saturation, and cultural adaptation issues (-3), along with only moderate legal and cultural benefits (+1) and barriers (-1), balance out the benefits. These mixed factors led us to assign a cautious but positive score</t>
    </r>
  </si>
  <si>
    <t>MULTILATINAS</t>
  </si>
  <si>
    <t>We gave it a +3 due to the cultural compatibility, regional appetite for symbolic self-care products
Zenluminance would benefit considerably from a multilatina strategy due to the regional cultural alignment around spirituality, self-care, and artisanal products across Latin America. Expanding into similar markets like Chile, Peru, Mexico and Argentina allows the brand to replicate its value proposition without drastic adaptation. The emotional and symbolic appeal of candles with crystals resonates with Latin American traditions. Additionally, shared language and regional trade agreements reduce entry complexity.</t>
  </si>
  <si>
    <t>The Latin American wellness market is growing, with increasing interest in spirituality, holistic therapies, and premium self-care products, aditionally tariff reductions and logistical infrastructure under trade blocs like Mercosur and Alianza del Pacífico simplify regional movement of goods.</t>
  </si>
  <si>
    <t>https://www.euromonitor.com/beauty-and-personal-care-in-latin-america/report
https://www.mckinsey.com/industries/retail/our-insights/the-state-of-grocery-retail-in-latin-america
https://www.worldbank.org/en/news/press-release/2019/10/10/trade-integration-even-more-important-for-latin-america-and-the-caribbean-as-growth-slows</t>
  </si>
  <si>
    <t>We gave -3 because while expansion across Latin America is possible and attractive, logistical difficulties, regulatory fragmentation and economic risks.
Expanding Zenluminance as a multilatina carries significant challenges that require careful management, first there´s a logistical complexity because each country has different import procedures, taxes, and regulations for artisanal or chemical-containing products (like scented candles). Also Latin America lacks standardized consumer product regulations; product labeling, fragrance chemical restrictions, and certifications vary country by country, increasing compliance costs and legal risks. We cannot also miss consideration for the fact that Latin American countries often experience currency devaluation, inflation, and political instability (especially Argentina and parts of Central America), posing financial risks for new exporters.</t>
  </si>
  <si>
    <t>Latin America’s logistics performance index remains lower than the global average, according to the World Bank, there´s economic instability in some markets and also there´s high variations in import duties for candles and scented goods across countries</t>
  </si>
  <si>
    <t xml:space="preserve">https://lpi.worldbank.org/
https://www.statista.com/statistics/698928/inflation-rate-in-latin-america-and-the-caribbean/
</t>
  </si>
  <si>
    <t>We gave a +5 rating because the cultural fit, digital retail momentum, and increasing demand for spiritual and premium wellness products represent an opportunity.
Latin American consumers are increasingly embracing mindfulness, spirituality, and holistic self-care, the artisanal and symbolic nature of the product aligns well with emotional branding, which resonates across multiple Latin American markets, additionally, digital adoption and e-commerce penetration are rising, particularly in countries like Mexico, Chile, Colombia, and Brazil, enabling Zenluminance to expand without the need for physical stores</t>
  </si>
  <si>
    <t>Spirituality, astrology, and energy healing trends are growing across Latin America, particularly among Millennials and Gen Z, also e-commerce sales in Latin America grew 25%+ year-over-year, with wellness and home products among the fastest-growing categories</t>
  </si>
  <si>
    <t xml:space="preserve">https://www.statista.com/outlook/emo/ecommerce/latam?currency=USD
</t>
  </si>
  <si>
    <t>We gave -3 because entering the region through a multilatina model implies high costs, long implementation timelines, and complex coordination efforts.
expanding into multiple Latin American markets requires significant resources and careful planning, like the product’s fragility, weight, and artisanal nature increase manufacturing and shipping costs, especially if exported from a single origin, also that each country in the region may require localized marketing, regulatory compliance (e.g., chemical contents, packaging, labeling), and tax registration, which adds cost and time to the rollout.</t>
  </si>
  <si>
    <t xml:space="preserve">Cross-border e-commerce in LATAM is growing, but fulfillment infrastructure still varies widely between countries, another important market condition is that duties, import fees, and bureaucratic clearance remain high in several Latin American countries, especially for non-essential or luxury goods
</t>
  </si>
  <si>
    <t>https://www.worldbank.org/en/news/press-release/2019/10/24/doing-business-2020-reforms-to-improve-business-climate-made-in-21-out-of-32-economies-in-latin-america-and-caribbean
https://www.dhl.com/global-en/delivered/global-trade/latin-america-promises-to-be-a-key-new-growth-market-for-e-commerce.html</t>
  </si>
  <si>
    <t>We gave a -3 score because legal inconsistency, limited Intelectual Property protection, and diverse cultural views on spirituality.
Latin America lacks a unified regulatory framework for cosmetics, candles, or scented goods. Countries like Brazil, Argentina, and Mexico have distinct labeling, import, and chemical safety regulations. Also while countries in the region offer Intelectual Property registration systems, enforcement of brand protection laws is inconsistent. A handcrafted product with a distinctive identity like ZENLUMINANCE could face imitation or brand dilution without strong legal follow-through</t>
  </si>
  <si>
    <t>Labeling and safety regulations for consumer goods (especially scented or chemical-containing products) vary widely across Latin American countries, also Informality and weak enforcement of business and trademark laws can expose foreign brands to imitation or local counterfeiting.</t>
  </si>
  <si>
    <t xml:space="preserve">https://oceantranslations.com/blog/cracking-cultural-language-barriers-latin-america/
</t>
  </si>
  <si>
    <t>The alignment between the product's spiritual and aesthetic qualities with local traditions, combined with a more supportive business environment, justifies a score of +3.
There's an increasing demand for wellness and artisanal products in the region. Consumers are seeking products that offer both aesthetic appeal and spiritual significance, aligning well with Zenluminance's offerings</t>
  </si>
  <si>
    <t xml:space="preserve">Cultural Appreciation, the use of candles in religious and spiritual practices is prevalent
</t>
  </si>
  <si>
    <t>https://thejesuitpost.org/2015/05/latino-candles/
https://page.org/blog/2024-latin-america-business-opportunities/</t>
  </si>
  <si>
    <t>Score</t>
  </si>
  <si>
    <t>DISCUSSIONS:
One debate was whether to give the Opportunities variable a +3 or a +5, since while the wellness trend is growing, we questioned if it was strong enough in all Latin American countries to be transformational</t>
  </si>
  <si>
    <t>OBSERVATIONS:
One of the main challenges was finding reliable and up-to-date sources, especially for specific legal and cultural aspects in each Latin American country. We also noticed that while some benefits and opportunities were clearly visible, such as the cultural alignment with candles, other variables like logistics and legal fragmentation demanded deeper research and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</si>
</sst>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Arial"/>
      <family val="2"/>
    </font>
    <font>
      <b/>
      <sz val="16"/>
      <color theme="1"/>
      <name val="Arial"/>
      <family val="2"/>
    </font>
    <font>
      <b/>
      <sz val="20"/>
      <color theme="1"/>
      <name val="Arial"/>
      <family val="2"/>
    </font>
    <font>
      <b/>
      <sz val="16"/>
      <color theme="1"/>
      <name val="Calibri"/>
      <family val="2"/>
      <scheme val="minor"/>
    </font>
    <font>
      <b/>
      <sz val="20"/>
      <color theme="1"/>
      <name val="Calibri"/>
      <family val="2"/>
      <scheme val="minor"/>
    </font>
    <font>
      <u/>
      <sz val="11"/>
      <color theme="10"/>
      <name val="Calibri"/>
      <family val="2"/>
      <scheme val="minor"/>
    </font>
    <font>
      <sz val="11"/>
      <color rgb="FF000000"/>
      <name val="Calibri"/>
      <family val="2"/>
      <scheme val="minor"/>
    </font>
    <font>
      <u/>
      <sz val="14"/>
      <color rgb="FF0000FF"/>
      <name val="Calibri"/>
      <charset val="1"/>
    </font>
    <font>
      <b/>
      <sz val="12"/>
      <color rgb="FF000000"/>
      <name val="Calibri"/>
      <charset val="1"/>
    </font>
    <font>
      <sz val="11"/>
      <color rgb="FF000000"/>
      <name val="Calibri"/>
      <scheme val="minor"/>
    </font>
    <font>
      <sz val="14"/>
      <color rgb="FF000000"/>
      <name val="Calibri"/>
      <charset val="1"/>
    </font>
    <font>
      <b/>
      <sz val="11"/>
      <color rgb="FF000000"/>
      <name val="Calibri"/>
      <family val="2"/>
      <scheme val="minor"/>
    </font>
    <font>
      <sz val="13.5"/>
      <color rgb="FF000000"/>
      <name val="Calibri"/>
      <family val="2"/>
      <scheme val="minor"/>
    </font>
    <font>
      <sz val="12"/>
      <color rgb="FF404040"/>
      <name val="DeepSeek-CJK-Patch"/>
      <charset val="1"/>
    </font>
  </fonts>
  <fills count="11">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FF"/>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105">
    <xf numFmtId="0" fontId="0" fillId="0" borderId="0" xfId="0"/>
    <xf numFmtId="0" fontId="2" fillId="0" borderId="1" xfId="0" applyFont="1" applyBorder="1" applyAlignment="1">
      <alignment horizontal="center" vertical="top"/>
    </xf>
    <xf numFmtId="0" fontId="4" fillId="0" borderId="0" xfId="0" applyFont="1"/>
    <xf numFmtId="0" fontId="0" fillId="0" borderId="0" xfId="0" applyAlignment="1">
      <alignment vertical="center"/>
    </xf>
    <xf numFmtId="0" fontId="0" fillId="0" borderId="1" xfId="0" applyBorder="1"/>
    <xf numFmtId="0" fontId="3" fillId="0" borderId="1" xfId="0" applyFont="1" applyBorder="1"/>
    <xf numFmtId="0" fontId="1" fillId="0" borderId="1" xfId="0" applyFont="1" applyBorder="1" applyAlignment="1">
      <alignment vertical="center"/>
    </xf>
    <xf numFmtId="0" fontId="0" fillId="0" borderId="1" xfId="0" applyBorder="1" applyAlignment="1">
      <alignment wrapText="1"/>
    </xf>
    <xf numFmtId="0" fontId="3"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vertical="top"/>
    </xf>
    <xf numFmtId="0" fontId="2" fillId="0" borderId="1" xfId="0" applyFont="1" applyBorder="1" applyAlignment="1">
      <alignment horizontal="center" vertical="center"/>
    </xf>
    <xf numFmtId="0" fontId="2" fillId="0" borderId="1" xfId="0" applyFont="1" applyBorder="1" applyAlignment="1">
      <alignment vertical="center"/>
    </xf>
    <xf numFmtId="0" fontId="0" fillId="0" borderId="1" xfId="0" applyBorder="1" applyAlignment="1">
      <alignment horizontal="center"/>
    </xf>
    <xf numFmtId="0" fontId="6" fillId="0" borderId="0" xfId="0" applyFont="1" applyAlignment="1">
      <alignment horizontal="center" vertical="center" wrapText="1"/>
    </xf>
    <xf numFmtId="0" fontId="5" fillId="2" borderId="0" xfId="0" applyFont="1" applyFill="1" applyAlignment="1">
      <alignment wrapText="1"/>
    </xf>
    <xf numFmtId="0" fontId="4" fillId="0" borderId="0" xfId="0" applyFont="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6" borderId="0" xfId="0" applyFont="1" applyFill="1" applyAlignment="1">
      <alignment wrapText="1"/>
    </xf>
    <xf numFmtId="0" fontId="5" fillId="7" borderId="0" xfId="0" applyFont="1" applyFill="1" applyAlignment="1">
      <alignment wrapText="1"/>
    </xf>
    <xf numFmtId="0" fontId="5" fillId="8" borderId="0" xfId="0" applyFont="1" applyFill="1" applyAlignment="1">
      <alignment wrapText="1"/>
    </xf>
    <xf numFmtId="0" fontId="5" fillId="9" borderId="0" xfId="0" applyFont="1" applyFill="1" applyAlignment="1">
      <alignment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9" fillId="0" borderId="0" xfId="1" applyAlignment="1">
      <alignment wrapText="1"/>
    </xf>
    <xf numFmtId="0" fontId="0" fillId="0" borderId="0" xfId="0" applyAlignment="1">
      <alignment wrapText="1"/>
    </xf>
    <xf numFmtId="0" fontId="10" fillId="0" borderId="0" xfId="0" applyFont="1" applyAlignment="1">
      <alignment wrapText="1"/>
    </xf>
    <xf numFmtId="0" fontId="10"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left" vertical="center" wrapText="1"/>
    </xf>
    <xf numFmtId="0" fontId="0" fillId="0" borderId="6" xfId="0" applyBorder="1" applyAlignment="1">
      <alignment wrapText="1"/>
    </xf>
    <xf numFmtId="0" fontId="10" fillId="0" borderId="6" xfId="0" applyFont="1" applyBorder="1" applyAlignment="1">
      <alignment horizontal="center" vertical="center" wrapText="1"/>
    </xf>
    <xf numFmtId="0" fontId="9" fillId="0" borderId="6" xfId="1" applyBorder="1" applyAlignment="1">
      <alignment wrapText="1"/>
    </xf>
    <xf numFmtId="0" fontId="10" fillId="0" borderId="6" xfId="0" applyFont="1" applyBorder="1" applyAlignment="1">
      <alignment wrapText="1"/>
    </xf>
    <xf numFmtId="0" fontId="10" fillId="0" borderId="6" xfId="0" applyFont="1" applyBorder="1" applyAlignment="1">
      <alignment vertical="center" wrapText="1"/>
    </xf>
    <xf numFmtId="0" fontId="0" fillId="0" borderId="2" xfId="0" applyBorder="1" applyAlignment="1">
      <alignment wrapText="1"/>
    </xf>
    <xf numFmtId="0" fontId="3" fillId="0" borderId="7" xfId="0" applyFont="1" applyBorder="1" applyAlignment="1">
      <alignment horizontal="center" vertical="center"/>
    </xf>
    <xf numFmtId="0" fontId="0" fillId="0" borderId="6" xfId="0" applyBorder="1" applyAlignment="1">
      <alignment horizontal="center" vertical="center"/>
    </xf>
    <xf numFmtId="0" fontId="11" fillId="0" borderId="6" xfId="0" applyFont="1" applyBorder="1"/>
    <xf numFmtId="0" fontId="9" fillId="0" borderId="6" xfId="1" applyBorder="1"/>
    <xf numFmtId="0" fontId="0" fillId="0" borderId="6" xfId="0" applyBorder="1" applyAlignment="1">
      <alignment vertical="center"/>
    </xf>
    <xf numFmtId="0" fontId="0" fillId="0" borderId="6" xfId="0" applyBorder="1"/>
    <xf numFmtId="0" fontId="10" fillId="0" borderId="6" xfId="0" applyFont="1" applyBorder="1" applyAlignment="1">
      <alignment horizontal="left" vertical="center" wrapText="1"/>
    </xf>
    <xf numFmtId="0" fontId="1" fillId="0" borderId="2" xfId="0" applyFont="1" applyBorder="1" applyAlignment="1">
      <alignment vertical="center"/>
    </xf>
    <xf numFmtId="0" fontId="1" fillId="0" borderId="2" xfId="0" applyFont="1" applyBorder="1" applyAlignment="1">
      <alignment vertical="top"/>
    </xf>
    <xf numFmtId="0" fontId="0" fillId="0" borderId="7" xfId="0" applyBorder="1" applyAlignment="1">
      <alignment horizontal="center" vertical="center"/>
    </xf>
    <xf numFmtId="0" fontId="0" fillId="0" borderId="8" xfId="0" applyBorder="1" applyAlignment="1">
      <alignment wrapText="1"/>
    </xf>
    <xf numFmtId="0" fontId="10" fillId="0" borderId="9" xfId="0" applyFont="1" applyBorder="1" applyAlignment="1">
      <alignment wrapText="1"/>
    </xf>
    <xf numFmtId="0" fontId="9" fillId="0" borderId="9" xfId="1" applyBorder="1" applyAlignment="1">
      <alignment wrapText="1"/>
    </xf>
    <xf numFmtId="0" fontId="3" fillId="5" borderId="1" xfId="0" applyFont="1" applyFill="1" applyBorder="1" applyAlignment="1">
      <alignment wrapText="1"/>
    </xf>
    <xf numFmtId="0" fontId="3" fillId="5" borderId="1" xfId="0" applyFont="1" applyFill="1" applyBorder="1"/>
    <xf numFmtId="0" fontId="3" fillId="5" borderId="3" xfId="0" applyFont="1" applyFill="1" applyBorder="1" applyAlignment="1">
      <alignment horizontal="center" wrapText="1"/>
    </xf>
    <xf numFmtId="0" fontId="12" fillId="0" borderId="0" xfId="0" applyFont="1"/>
    <xf numFmtId="0" fontId="12" fillId="0" borderId="0" xfId="0" applyFont="1" applyAlignment="1">
      <alignment wrapText="1"/>
    </xf>
    <xf numFmtId="0" fontId="12" fillId="5" borderId="0" xfId="0" applyFont="1" applyFill="1" applyAlignment="1">
      <alignment wrapText="1"/>
    </xf>
    <xf numFmtId="0" fontId="0" fillId="0" borderId="1" xfId="0" applyBorder="1" applyAlignment="1">
      <alignment vertical="center" wrapText="1"/>
    </xf>
    <xf numFmtId="0" fontId="0" fillId="0" borderId="1" xfId="0" applyBorder="1" applyAlignment="1">
      <alignment horizontal="left" vertical="center" wrapText="1"/>
    </xf>
    <xf numFmtId="0" fontId="9" fillId="0" borderId="2" xfId="1" applyBorder="1" applyAlignment="1">
      <alignment vertical="center" wrapText="1"/>
    </xf>
    <xf numFmtId="0" fontId="9" fillId="0" borderId="6" xfId="1" applyBorder="1" applyAlignment="1">
      <alignment vertical="center" wrapText="1"/>
    </xf>
    <xf numFmtId="0" fontId="0" fillId="0" borderId="10" xfId="0" applyBorder="1" applyAlignment="1">
      <alignment vertical="center"/>
    </xf>
    <xf numFmtId="0" fontId="9" fillId="0" borderId="6" xfId="1" applyBorder="1" applyAlignment="1">
      <alignment vertical="center"/>
    </xf>
    <xf numFmtId="0" fontId="13" fillId="0" borderId="0" xfId="0" applyFont="1" applyAlignment="1">
      <alignment horizontal="center" vertical="center" wrapText="1"/>
    </xf>
    <xf numFmtId="0" fontId="14" fillId="0" borderId="0" xfId="0" applyFont="1" applyAlignment="1">
      <alignment wrapText="1"/>
    </xf>
    <xf numFmtId="0" fontId="9" fillId="0" borderId="6" xfId="1" applyBorder="1" applyAlignment="1">
      <alignment horizontal="center" wrapText="1"/>
    </xf>
    <xf numFmtId="0" fontId="14" fillId="0" borderId="6" xfId="0" applyFont="1" applyBorder="1" applyAlignment="1">
      <alignment wrapText="1"/>
    </xf>
    <xf numFmtId="0" fontId="0" fillId="0" borderId="12" xfId="0" applyBorder="1" applyAlignment="1">
      <alignment horizontal="left" vertical="center" wrapText="1"/>
    </xf>
    <xf numFmtId="0" fontId="0" fillId="0" borderId="9" xfId="0" applyBorder="1"/>
    <xf numFmtId="0" fontId="9" fillId="0" borderId="1" xfId="1" applyBorder="1" applyAlignment="1">
      <alignment horizontal="center" vertical="center" wrapText="1"/>
    </xf>
    <xf numFmtId="0" fontId="9" fillId="0" borderId="1" xfId="1" applyBorder="1" applyAlignment="1">
      <alignment wrapText="1"/>
    </xf>
    <xf numFmtId="0" fontId="13" fillId="0" borderId="6" xfId="0" applyFont="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horizontal="left" vertical="center" wrapText="1"/>
    </xf>
    <xf numFmtId="0" fontId="9" fillId="0" borderId="1" xfId="1" applyBorder="1" applyAlignment="1">
      <alignment vertical="center" wrapText="1"/>
    </xf>
    <xf numFmtId="0" fontId="0" fillId="0" borderId="0" xfId="0" applyAlignment="1">
      <alignment vertical="center" wrapText="1"/>
    </xf>
    <xf numFmtId="0" fontId="9" fillId="0" borderId="0" xfId="1"/>
    <xf numFmtId="0" fontId="9" fillId="0" borderId="1" xfId="1" applyBorder="1"/>
    <xf numFmtId="0" fontId="17" fillId="0" borderId="0" xfId="0" applyFont="1" applyAlignment="1">
      <alignment wrapText="1"/>
    </xf>
    <xf numFmtId="0" fontId="17" fillId="10" borderId="0" xfId="0" applyFont="1" applyFill="1" applyAlignment="1">
      <alignment wrapText="1"/>
    </xf>
    <xf numFmtId="0" fontId="0" fillId="0" borderId="1" xfId="0" applyBorder="1" applyAlignment="1">
      <alignment horizontal="center"/>
    </xf>
    <xf numFmtId="0" fontId="2" fillId="0" borderId="1" xfId="0" applyFont="1" applyBorder="1" applyAlignment="1">
      <alignment horizontal="center" vertical="top" wrapText="1"/>
    </xf>
    <xf numFmtId="0" fontId="7" fillId="0" borderId="0" xfId="0" applyFont="1" applyAlignment="1">
      <alignment horizontal="center" vertical="center"/>
    </xf>
    <xf numFmtId="0" fontId="8" fillId="0" borderId="4" xfId="0" applyFont="1" applyBorder="1" applyAlignment="1">
      <alignment horizontal="center"/>
    </xf>
    <xf numFmtId="0" fontId="3" fillId="5" borderId="1" xfId="0" applyFont="1" applyFill="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center" vertical="top"/>
    </xf>
    <xf numFmtId="0" fontId="1" fillId="0" borderId="11" xfId="0" applyFont="1" applyBorder="1" applyAlignment="1">
      <alignment horizontal="center" vertical="top"/>
    </xf>
    <xf numFmtId="0" fontId="10" fillId="0" borderId="12" xfId="0" applyFont="1" applyBorder="1" applyAlignment="1">
      <alignment horizontal="center" wrapText="1"/>
    </xf>
    <xf numFmtId="0" fontId="10" fillId="0" borderId="13" xfId="0" applyFont="1" applyBorder="1" applyAlignment="1">
      <alignment horizontal="center" wrapText="1"/>
    </xf>
    <xf numFmtId="0" fontId="1" fillId="0" borderId="2" xfId="0" applyFont="1" applyBorder="1" applyAlignment="1">
      <alignment horizontal="center" vertical="top" wrapText="1"/>
    </xf>
    <xf numFmtId="0" fontId="1" fillId="0" borderId="3" xfId="0" applyFont="1" applyBorder="1" applyAlignment="1">
      <alignment horizontal="center" vertical="top"/>
    </xf>
    <xf numFmtId="0" fontId="3" fillId="0" borderId="1" xfId="0" applyFont="1" applyBorder="1" applyAlignment="1">
      <alignment horizontal="center"/>
    </xf>
    <xf numFmtId="0" fontId="1" fillId="0" borderId="5" xfId="0" applyFont="1" applyBorder="1" applyAlignment="1">
      <alignment horizontal="center" vertical="top"/>
    </xf>
    <xf numFmtId="0" fontId="12" fillId="0" borderId="1" xfId="0" applyFont="1" applyBorder="1" applyAlignment="1">
      <alignment horizontal="center"/>
    </xf>
    <xf numFmtId="0" fontId="16" fillId="0" borderId="1" xfId="0" applyFont="1" applyBorder="1" applyAlignment="1">
      <alignment horizontal="center" vertical="center" wrapText="1"/>
    </xf>
    <xf numFmtId="0" fontId="1" fillId="0" borderId="1" xfId="0" applyFont="1" applyBorder="1" applyAlignment="1">
      <alignment horizontal="center"/>
    </xf>
    <xf numFmtId="0" fontId="15" fillId="0" borderId="0" xfId="0" applyFont="1" applyAlignment="1">
      <alignment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ustr.gov/trade-agreements/free-trade-agreements/colombia-tpa" TargetMode="External"/><Relationship Id="rId3" Type="http://schemas.openxmlformats.org/officeDocument/2006/relationships/hyperlink" Target="https://www.archivemarketresearch.com/reports/us-scented-candles-market-137" TargetMode="External"/><Relationship Id="rId7" Type="http://schemas.openxmlformats.org/officeDocument/2006/relationships/hyperlink" Target="https://candles.org/facts-figures-2/" TargetMode="External"/><Relationship Id="rId2" Type="http://schemas.openxmlformats.org/officeDocument/2006/relationships/hyperlink" Target="https://www.custommarketinsights.com/report/us-candle-market/" TargetMode="External"/><Relationship Id="rId1" Type="http://schemas.openxmlformats.org/officeDocument/2006/relationships/hyperlink" Target="https://www.grandviewresearch.com/industry-analysis/candles-market" TargetMode="External"/><Relationship Id="rId6" Type="http://schemas.openxmlformats.org/officeDocument/2006/relationships/hyperlink" Target="https://www.ftc.gov/legal-library/browse/rules/fair-packaging-labeling-act-regulations-under-section-4-fair-packaging-labeling-act" TargetMode="External"/><Relationship Id="rId5" Type="http://schemas.openxmlformats.org/officeDocument/2006/relationships/hyperlink" Target="https://usacustomsclearance.com/process/importing-candles/" TargetMode="External"/><Relationship Id="rId4" Type="http://schemas.openxmlformats.org/officeDocument/2006/relationships/hyperlink" Target="https://www.custommarketinsights.com/report/us-candle-marke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ustommarketinsights.com/report/us-candle-market/%20%20%20%20%20%20https:/www.statista.com/topics/2477/online-shopping-behavior/" TargetMode="External"/><Relationship Id="rId2" Type="http://schemas.openxmlformats.org/officeDocument/2006/relationships/hyperlink" Target="https://www.archivemarketresearch.com/reports/us-scented-candles-market-137%20%20%20%20https:/www.cpsc.gov/Business--Manufacturing/Business-Education/Business-Guidance/Candles%20%20%20https:/www.trade.gov/us-colombia-tpa%20%20%20%20%20https:/www.ibisworld.com/united-states/industry/candle-manufacturing/4260/" TargetMode="External"/><Relationship Id="rId1" Type="http://schemas.openxmlformats.org/officeDocument/2006/relationships/hyperlink" Target="https://www.grandviewresearch.com/industry-analysis/candles-market%20%20%20https:/www.custommarketinsights.com/report/us-candle-market/%20%20%20%20%20https:/www.nielsen.com/news-center/2023/nielsen-study-reveals-sustainability-themed-advertising-is-here-to-stay/" TargetMode="External"/><Relationship Id="rId6" Type="http://schemas.openxmlformats.org/officeDocument/2006/relationships/hyperlink" Target="https://www.mintel.com/insights/media-and-advertising/sustainability-update-consumer-trends-and-business-developments-brands-need-to-know-about/" TargetMode="External"/><Relationship Id="rId5" Type="http://schemas.openxmlformats.org/officeDocument/2006/relationships/hyperlink" Target="https://www.cpsc.gov/Business--Manufacturing/Business-Education/Business-Guidance/Candles" TargetMode="External"/><Relationship Id="rId4" Type="http://schemas.openxmlformats.org/officeDocument/2006/relationships/hyperlink" Target="https://procolombia.co/publicaciones/guia-para-exportar-cosmeticos-eeuu%20%20%20https:/usacustomsclearance.com/process/importing-candl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lementor.com/blog/es/como-iniciar-un-negocio-de-velas-en-year-la-guia-definitiva-para-iniciar-un-prospero-negocio-de-velas/" TargetMode="External"/><Relationship Id="rId13" Type="http://schemas.openxmlformats.org/officeDocument/2006/relationships/hyperlink" Target="https://www.databridgemarketresearch.com/es/reports/global-scented-candle-market" TargetMode="External"/><Relationship Id="rId3" Type="http://schemas.openxmlformats.org/officeDocument/2006/relationships/hyperlink" Target="https://www.fda.gov/" TargetMode="External"/><Relationship Id="rId7" Type="http://schemas.openxmlformats.org/officeDocument/2006/relationships/hyperlink" Target="https://boletines.exportemos.pe/recursos/boletin/27332.PDF" TargetMode="External"/><Relationship Id="rId12" Type="http://schemas.openxmlformats.org/officeDocument/2006/relationships/hyperlink" Target="https://www.fortunebusinessinsights.com/es/scented-candles-market-104388" TargetMode="External"/><Relationship Id="rId2" Type="http://schemas.openxmlformats.org/officeDocument/2006/relationships/hyperlink" Target="https://www.registrarcorp.com/es/blog/drugs-es/drug-regulations-es/fda-regulations-for-aromatherapy-drug-cosmetic-both-or-neither/" TargetMode="External"/><Relationship Id="rId1" Type="http://schemas.openxmlformats.org/officeDocument/2006/relationships/hyperlink" Target="https://www.franchise.org./" TargetMode="External"/><Relationship Id="rId6" Type="http://schemas.openxmlformats.org/officeDocument/2006/relationships/hyperlink" Target="https://www.fortunebusinessinsights.com/es/scented-candles-market-104388" TargetMode="External"/><Relationship Id="rId11" Type="http://schemas.openxmlformats.org/officeDocument/2006/relationships/hyperlink" Target="https://www.databridgemarketresearch.com/es/reports/global-scented-candle-market" TargetMode="External"/><Relationship Id="rId5" Type="http://schemas.openxmlformats.org/officeDocument/2006/relationships/hyperlink" Target="https://www.gminsights.com/es/industry-analysis/us-aroma-chemicals-market" TargetMode="External"/><Relationship Id="rId10" Type="http://schemas.openxmlformats.org/officeDocument/2006/relationships/hyperlink" Target="https://www.franchise.org/" TargetMode="External"/><Relationship Id="rId4" Type="http://schemas.openxmlformats.org/officeDocument/2006/relationships/hyperlink" Target="https://www.cbp.gov/" TargetMode="External"/><Relationship Id="rId9" Type="http://schemas.openxmlformats.org/officeDocument/2006/relationships/hyperlink" Target="https://www.uspto.gov/"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nielsen.com/" TargetMode="External"/><Relationship Id="rId2" Type="http://schemas.openxmlformats.org/officeDocument/2006/relationships/hyperlink" Target="https://www.sec.gov/" TargetMode="External"/><Relationship Id="rId1" Type="http://schemas.openxmlformats.org/officeDocument/2006/relationships/hyperlink" Target="https://www.uspto.gov/" TargetMode="External"/><Relationship Id="rId5" Type="http://schemas.openxmlformats.org/officeDocument/2006/relationships/hyperlink" Target="https://www.worldbank.org/" TargetMode="External"/><Relationship Id="rId4" Type="http://schemas.openxmlformats.org/officeDocument/2006/relationships/hyperlink" Target="https://www.commerce.gov/"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researchfdi.com/foreign-direct-investment-advantages-disadvantages/" TargetMode="External"/><Relationship Id="rId7" Type="http://schemas.openxmlformats.org/officeDocument/2006/relationships/printerSettings" Target="../printerSettings/printerSettings1.bin"/><Relationship Id="rId2" Type="http://schemas.openxmlformats.org/officeDocument/2006/relationships/hyperlink" Target="https://www.responsiblemineralsinitiative.org/" TargetMode="External"/><Relationship Id="rId1" Type="http://schemas.openxmlformats.org/officeDocument/2006/relationships/hyperlink" Target="https://globalwellnessinstitute.org/press-room/statistics-and-facts/" TargetMode="External"/><Relationship Id="rId6" Type="http://schemas.openxmlformats.org/officeDocument/2006/relationships/hyperlink" Target="https://www.ibef.org/economy/foreign-direct-investment%20%20%20%20%20%20%20%20%20https:/researchfdi.com/benefits-fdi-foreign-direct-investment/" TargetMode="External"/><Relationship Id="rId5" Type="http://schemas.openxmlformats.org/officeDocument/2006/relationships/hyperlink" Target="https://www.taylorfrancis.com/chapters/edit/10.4324/9781032636962-11/cultural-barriers-foreign-direct-investments-wiktoria-rakowska-%C5%82ukasz-pu%C5%9Blecki-dorota-malicka" TargetMode="External"/><Relationship Id="rId4" Type="http://schemas.openxmlformats.org/officeDocument/2006/relationships/hyperlink" Target="https://www.ibef.org/economy/foreign-direct-investment"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acustomsclearance.com/process/importing-candles/" TargetMode="External"/><Relationship Id="rId3" Type="http://schemas.openxmlformats.org/officeDocument/2006/relationships/hyperlink" Target="https://www.commerce.gov" TargetMode="External"/><Relationship Id="rId7" Type="http://schemas.openxmlformats.org/officeDocument/2006/relationships/hyperlink" Target="https://www.volza.com/p/scented-candle/import/import-in-united-states/" TargetMode="External"/><Relationship Id="rId12" Type="http://schemas.openxmlformats.org/officeDocument/2006/relationships/hyperlink" Target="https://www.trade.gov" TargetMode="External"/><Relationship Id="rId2" Type="http://schemas.openxmlformats.org/officeDocument/2006/relationships/hyperlink" Target="https://www.grandviewresearch.com/industry-analysis/candles-market&amp;" TargetMode="External"/><Relationship Id="rId1" Type="http://schemas.openxmlformats.org/officeDocument/2006/relationships/hyperlink" Target="https://www.statista.com" TargetMode="External"/><Relationship Id="rId6" Type="http://schemas.openxmlformats.org/officeDocument/2006/relationships/hyperlink" Target="https://candles.org" TargetMode="External"/><Relationship Id="rId11" Type="http://schemas.openxmlformats.org/officeDocument/2006/relationships/hyperlink" Target="https://www.uspto.gov" TargetMode="External"/><Relationship Id="rId5" Type="http://schemas.openxmlformats.org/officeDocument/2006/relationships/hyperlink" Target="https://candles.org" TargetMode="External"/><Relationship Id="rId10" Type="http://schemas.openxmlformats.org/officeDocument/2006/relationships/hyperlink" Target="https://www.trade.gov" TargetMode="External"/><Relationship Id="rId4" Type="http://schemas.openxmlformats.org/officeDocument/2006/relationships/hyperlink" Target="https://www.custommarketinsights.com/report/us-candle-market/?utm_source=chatgpt.com" TargetMode="External"/><Relationship Id="rId9" Type="http://schemas.openxmlformats.org/officeDocument/2006/relationships/hyperlink" Target="https://www.fda.gov"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uromonitor.com/beauty-and-personal-care-in-latin-america/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zoomScale="86" zoomScaleNormal="86" workbookViewId="0">
      <selection activeCell="A12" sqref="A12"/>
    </sheetView>
  </sheetViews>
  <sheetFormatPr defaultColWidth="8.85546875" defaultRowHeight="15"/>
  <cols>
    <col min="1" max="1" width="19.42578125" customWidth="1"/>
    <col min="2" max="6" width="17.140625" customWidth="1"/>
    <col min="7" max="7" width="14" customWidth="1"/>
    <col min="8" max="8" width="18.5703125" bestFit="1" customWidth="1"/>
  </cols>
  <sheetData>
    <row r="1" spans="1:8" ht="33.950000000000003" customHeight="1">
      <c r="A1" s="84" t="s">
        <v>0</v>
      </c>
      <c r="B1" s="84"/>
      <c r="C1" s="84"/>
      <c r="D1" s="84"/>
      <c r="E1" s="84"/>
      <c r="F1" s="84"/>
      <c r="G1" s="84"/>
      <c r="H1" s="84"/>
    </row>
    <row r="2" spans="1:8" ht="41.25">
      <c r="B2" s="13" t="s">
        <v>1</v>
      </c>
      <c r="C2" s="27" t="s">
        <v>2</v>
      </c>
      <c r="D2" s="13" t="s">
        <v>3</v>
      </c>
      <c r="E2" s="27" t="s">
        <v>4</v>
      </c>
      <c r="F2" s="27" t="s">
        <v>5</v>
      </c>
      <c r="G2" s="27" t="s">
        <v>6</v>
      </c>
      <c r="H2" s="1" t="s">
        <v>7</v>
      </c>
    </row>
    <row r="3" spans="1:8" s="10" customFormat="1" ht="26.1" customHeight="1">
      <c r="A3" s="13" t="s">
        <v>8</v>
      </c>
      <c r="B3" s="9" t="s">
        <v>9</v>
      </c>
      <c r="C3" s="9" t="s">
        <v>10</v>
      </c>
      <c r="D3" s="9" t="s">
        <v>9</v>
      </c>
      <c r="E3" s="9" t="s">
        <v>10</v>
      </c>
      <c r="F3" s="9" t="s">
        <v>10</v>
      </c>
      <c r="G3" s="9" t="s">
        <v>9</v>
      </c>
      <c r="H3" s="9">
        <v>2</v>
      </c>
    </row>
    <row r="4" spans="1:8" s="10" customFormat="1" ht="26.1" customHeight="1">
      <c r="A4" s="13" t="s">
        <v>11</v>
      </c>
      <c r="B4" s="9" t="s">
        <v>9</v>
      </c>
      <c r="C4" s="9" t="s">
        <v>10</v>
      </c>
      <c r="D4" s="9" t="s">
        <v>9</v>
      </c>
      <c r="E4" s="9" t="s">
        <v>10</v>
      </c>
      <c r="F4" s="9" t="s">
        <v>10</v>
      </c>
      <c r="G4" s="9" t="s">
        <v>9</v>
      </c>
      <c r="H4" s="9">
        <v>2</v>
      </c>
    </row>
    <row r="5" spans="1:8" s="10" customFormat="1" ht="26.1" customHeight="1">
      <c r="A5" s="13" t="s">
        <v>12</v>
      </c>
      <c r="B5" s="9" t="s">
        <v>9</v>
      </c>
      <c r="C5" s="9" t="s">
        <v>10</v>
      </c>
      <c r="D5" s="9" t="s">
        <v>9</v>
      </c>
      <c r="E5" s="9" t="s">
        <v>10</v>
      </c>
      <c r="F5" s="9" t="s">
        <v>10</v>
      </c>
      <c r="G5" s="9" t="s">
        <v>9</v>
      </c>
      <c r="H5" s="9">
        <f>SUM(B5:G5)</f>
        <v>0</v>
      </c>
    </row>
    <row r="6" spans="1:8" s="10" customFormat="1" ht="26.1" customHeight="1">
      <c r="A6" s="13" t="s">
        <v>13</v>
      </c>
      <c r="B6" s="9" t="s">
        <v>9</v>
      </c>
      <c r="C6" s="9" t="s">
        <v>10</v>
      </c>
      <c r="D6" s="9" t="s">
        <v>9</v>
      </c>
      <c r="E6" s="9" t="s">
        <v>10</v>
      </c>
      <c r="F6" s="9" t="s">
        <v>10</v>
      </c>
      <c r="G6" s="9" t="s">
        <v>9</v>
      </c>
      <c r="H6" s="9">
        <v>8</v>
      </c>
    </row>
    <row r="7" spans="1:8" s="10" customFormat="1" ht="26.1" customHeight="1">
      <c r="A7" s="13" t="s">
        <v>14</v>
      </c>
      <c r="B7" s="9" t="s">
        <v>9</v>
      </c>
      <c r="C7" s="9" t="s">
        <v>10</v>
      </c>
      <c r="D7" s="9" t="s">
        <v>9</v>
      </c>
      <c r="E7" s="9" t="s">
        <v>10</v>
      </c>
      <c r="F7" s="9" t="s">
        <v>10</v>
      </c>
      <c r="G7" s="9" t="s">
        <v>9</v>
      </c>
      <c r="H7" s="9">
        <v>6</v>
      </c>
    </row>
    <row r="8" spans="1:8" s="10" customFormat="1" ht="26.1" customHeight="1">
      <c r="A8" s="13" t="s">
        <v>15</v>
      </c>
      <c r="B8" s="9" t="s">
        <v>9</v>
      </c>
      <c r="C8" s="9" t="s">
        <v>10</v>
      </c>
      <c r="D8" s="9" t="s">
        <v>9</v>
      </c>
      <c r="E8" s="9" t="s">
        <v>10</v>
      </c>
      <c r="F8" s="9" t="s">
        <v>10</v>
      </c>
      <c r="G8" s="9" t="s">
        <v>9</v>
      </c>
      <c r="H8" s="9">
        <v>2</v>
      </c>
    </row>
    <row r="9" spans="1:8" s="10" customFormat="1" ht="26.1" customHeight="1">
      <c r="A9" s="13" t="s">
        <v>16</v>
      </c>
      <c r="B9" s="9" t="s">
        <v>9</v>
      </c>
      <c r="C9" s="9" t="s">
        <v>10</v>
      </c>
      <c r="D9" s="9" t="s">
        <v>9</v>
      </c>
      <c r="E9" s="9" t="s">
        <v>10</v>
      </c>
      <c r="F9" s="9" t="s">
        <v>10</v>
      </c>
      <c r="G9" s="9" t="s">
        <v>9</v>
      </c>
      <c r="H9" s="9">
        <v>4</v>
      </c>
    </row>
    <row r="10" spans="1:8" s="10" customFormat="1" ht="26.1" customHeight="1">
      <c r="A10" s="13" t="s">
        <v>17</v>
      </c>
      <c r="B10" s="9" t="s">
        <v>9</v>
      </c>
      <c r="C10" s="9" t="s">
        <v>10</v>
      </c>
      <c r="D10" s="9" t="s">
        <v>9</v>
      </c>
      <c r="E10" s="9" t="s">
        <v>10</v>
      </c>
      <c r="F10" s="9" t="s">
        <v>10</v>
      </c>
      <c r="G10" s="9" t="s">
        <v>9</v>
      </c>
      <c r="H10" s="9">
        <v>2</v>
      </c>
    </row>
    <row r="12" spans="1:8" ht="32.1" customHeight="1">
      <c r="A12" s="83" t="s">
        <v>18</v>
      </c>
      <c r="B12" s="82"/>
      <c r="C12" s="82"/>
      <c r="D12" s="82"/>
      <c r="E12" s="82"/>
      <c r="F12" s="82"/>
      <c r="G12" s="82"/>
      <c r="H12" s="82"/>
    </row>
    <row r="13" spans="1:8">
      <c r="A13" s="83"/>
      <c r="B13" s="82"/>
      <c r="C13" s="82"/>
      <c r="D13" s="82"/>
      <c r="E13" s="82"/>
      <c r="F13" s="82"/>
      <c r="G13" s="82"/>
      <c r="H13" s="82"/>
    </row>
    <row r="14" spans="1:8">
      <c r="A14" s="83"/>
      <c r="B14" s="82"/>
      <c r="C14" s="82"/>
      <c r="D14" s="82"/>
      <c r="E14" s="82"/>
      <c r="F14" s="82"/>
      <c r="G14" s="82"/>
      <c r="H14" s="82"/>
    </row>
    <row r="15" spans="1:8">
      <c r="A15" s="83"/>
      <c r="B15" s="82"/>
      <c r="C15" s="82"/>
      <c r="D15" s="82"/>
      <c r="E15" s="82"/>
      <c r="F15" s="82"/>
      <c r="G15" s="82"/>
      <c r="H15" s="82"/>
    </row>
    <row r="16" spans="1:8">
      <c r="A16" s="83"/>
      <c r="B16" s="82"/>
      <c r="C16" s="82"/>
      <c r="D16" s="82"/>
      <c r="E16" s="82"/>
      <c r="F16" s="82"/>
      <c r="G16" s="82"/>
      <c r="H16" s="82"/>
    </row>
    <row r="17" spans="1:8">
      <c r="A17" s="83"/>
      <c r="B17" s="82"/>
      <c r="C17" s="82"/>
      <c r="D17" s="82"/>
      <c r="E17" s="82"/>
      <c r="F17" s="82"/>
      <c r="G17" s="82"/>
      <c r="H17" s="82"/>
    </row>
    <row r="18" spans="1:8">
      <c r="A18" s="83"/>
      <c r="B18" s="82"/>
      <c r="C18" s="82"/>
      <c r="D18" s="82"/>
      <c r="E18" s="82"/>
      <c r="F18" s="82"/>
      <c r="G18" s="82"/>
      <c r="H18" s="82"/>
    </row>
    <row r="19" spans="1:8">
      <c r="A19" s="83"/>
      <c r="B19" s="82"/>
      <c r="C19" s="82"/>
      <c r="D19" s="82"/>
      <c r="E19" s="82"/>
      <c r="F19" s="82"/>
      <c r="G19" s="82"/>
      <c r="H19" s="82"/>
    </row>
    <row r="20" spans="1:8">
      <c r="A20" s="83"/>
      <c r="B20" s="82"/>
      <c r="C20" s="82"/>
      <c r="D20" s="82"/>
      <c r="E20" s="82"/>
      <c r="F20" s="82"/>
      <c r="G20" s="82"/>
      <c r="H20" s="82"/>
    </row>
    <row r="21" spans="1:8">
      <c r="A21" s="83"/>
      <c r="B21" s="82"/>
      <c r="C21" s="82"/>
      <c r="D21" s="82"/>
      <c r="E21" s="82"/>
      <c r="F21" s="82"/>
      <c r="G21" s="82"/>
      <c r="H21" s="82"/>
    </row>
    <row r="22" spans="1:8">
      <c r="A22" s="83"/>
      <c r="B22" s="82"/>
      <c r="C22" s="82"/>
      <c r="D22" s="82"/>
      <c r="E22" s="82"/>
      <c r="F22" s="82"/>
      <c r="G22" s="82"/>
      <c r="H22" s="82"/>
    </row>
  </sheetData>
  <mergeCells count="3">
    <mergeCell ref="B12:H22"/>
    <mergeCell ref="A12:A22"/>
    <mergeCell ref="A1:H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6D7C-A037-44BF-96B6-3CAFC5C8E5B0}">
  <dimension ref="E4"/>
  <sheetViews>
    <sheetView tabSelected="1" workbookViewId="0">
      <selection activeCell="B3" sqref="B3"/>
    </sheetView>
  </sheetViews>
  <sheetFormatPr defaultRowHeight="15"/>
  <cols>
    <col min="5" max="5" width="36.5703125" bestFit="1" customWidth="1"/>
  </cols>
  <sheetData>
    <row r="4" spans="5:5">
      <c r="E4" s="1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zoomScale="86" zoomScaleNormal="86" workbookViewId="0">
      <selection activeCell="D23" sqref="D23"/>
    </sheetView>
  </sheetViews>
  <sheetFormatPr defaultColWidth="10.85546875" defaultRowHeight="14.25"/>
  <cols>
    <col min="1" max="1" width="95.140625" style="18" customWidth="1"/>
    <col min="2" max="16384" width="10.85546875" style="2"/>
  </cols>
  <sheetData>
    <row r="1" spans="1:1" ht="54" customHeight="1">
      <c r="A1" s="16" t="s">
        <v>19</v>
      </c>
    </row>
    <row r="3" spans="1:1" ht="20.25">
      <c r="A3" s="17" t="s">
        <v>20</v>
      </c>
    </row>
    <row r="4" spans="1:1" ht="28.5">
      <c r="A4" s="18" t="s">
        <v>21</v>
      </c>
    </row>
    <row r="5" spans="1:1" ht="28.5">
      <c r="A5" s="18" t="s">
        <v>22</v>
      </c>
    </row>
    <row r="7" spans="1:1" ht="20.25">
      <c r="A7" s="17" t="s">
        <v>23</v>
      </c>
    </row>
    <row r="8" spans="1:1" ht="28.5">
      <c r="A8" s="18" t="s">
        <v>24</v>
      </c>
    </row>
    <row r="9" spans="1:1">
      <c r="A9" s="18" t="s">
        <v>25</v>
      </c>
    </row>
    <row r="11" spans="1:1" ht="20.25">
      <c r="A11" s="19" t="s">
        <v>26</v>
      </c>
    </row>
    <row r="12" spans="1:1" ht="28.5">
      <c r="A12" s="18" t="s">
        <v>27</v>
      </c>
    </row>
    <row r="13" spans="1:1" ht="28.5">
      <c r="A13" s="18" t="s">
        <v>28</v>
      </c>
    </row>
    <row r="15" spans="1:1" ht="20.25">
      <c r="A15" s="20" t="s">
        <v>29</v>
      </c>
    </row>
    <row r="16" spans="1:1" ht="28.5">
      <c r="A16" s="18" t="s">
        <v>30</v>
      </c>
    </row>
    <row r="17" spans="1:1">
      <c r="A17" s="18" t="s">
        <v>31</v>
      </c>
    </row>
    <row r="19" spans="1:1" ht="20.25">
      <c r="A19" s="21" t="s">
        <v>32</v>
      </c>
    </row>
    <row r="20" spans="1:1" ht="28.5">
      <c r="A20" s="18" t="s">
        <v>33</v>
      </c>
    </row>
    <row r="21" spans="1:1">
      <c r="A21" s="18" t="s">
        <v>34</v>
      </c>
    </row>
    <row r="23" spans="1:1" ht="20.25">
      <c r="A23" s="22" t="s">
        <v>35</v>
      </c>
    </row>
    <row r="24" spans="1:1" ht="28.5">
      <c r="A24" s="18" t="s">
        <v>36</v>
      </c>
    </row>
    <row r="25" spans="1:1">
      <c r="A25" s="18" t="s">
        <v>37</v>
      </c>
    </row>
    <row r="27" spans="1:1" ht="20.25">
      <c r="A27" s="23" t="s">
        <v>38</v>
      </c>
    </row>
    <row r="28" spans="1:1">
      <c r="A28" s="18" t="s">
        <v>39</v>
      </c>
    </row>
    <row r="29" spans="1:1">
      <c r="A29" s="18" t="s">
        <v>40</v>
      </c>
    </row>
    <row r="31" spans="1:1" ht="20.25">
      <c r="A31" s="24" t="s">
        <v>41</v>
      </c>
    </row>
    <row r="32" spans="1:1" ht="28.5">
      <c r="A32" s="18" t="s">
        <v>42</v>
      </c>
    </row>
    <row r="33" spans="1:1">
      <c r="A33" s="18" t="s">
        <v>43</v>
      </c>
    </row>
    <row r="35" spans="1:1" ht="20.25">
      <c r="A35" s="25" t="s">
        <v>44</v>
      </c>
    </row>
    <row r="36" spans="1:1" ht="28.5">
      <c r="A36" s="18" t="s">
        <v>45</v>
      </c>
    </row>
    <row r="37" spans="1:1">
      <c r="A37" s="18"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01FC-5383-C04F-B0B5-067834697557}">
  <dimension ref="A1:G11"/>
  <sheetViews>
    <sheetView topLeftCell="A8" zoomScale="73" zoomScaleNormal="73" workbookViewId="0">
      <selection activeCell="A11" sqref="A11:D11"/>
    </sheetView>
  </sheetViews>
  <sheetFormatPr defaultColWidth="10.85546875" defaultRowHeight="15"/>
  <cols>
    <col min="1" max="1" width="23.85546875" customWidth="1"/>
    <col min="2" max="2" width="15.28515625" style="3" customWidth="1"/>
    <col min="3" max="3" width="49.140625" customWidth="1"/>
    <col min="4" max="4" width="59.7109375" customWidth="1"/>
    <col min="5" max="5" width="42.5703125" customWidth="1"/>
    <col min="6" max="6" width="40.28515625" customWidth="1"/>
    <col min="7" max="7" width="33.7109375" customWidth="1"/>
  </cols>
  <sheetData>
    <row r="1" spans="1:7" ht="25.5">
      <c r="A1" s="85" t="s">
        <v>47</v>
      </c>
      <c r="B1" s="85"/>
      <c r="C1" s="85"/>
      <c r="D1" s="85"/>
      <c r="E1" s="85"/>
      <c r="F1" s="85"/>
    </row>
    <row r="2" spans="1:7" ht="30">
      <c r="A2" s="54" t="s">
        <v>48</v>
      </c>
      <c r="B2" s="86" t="s">
        <v>49</v>
      </c>
      <c r="C2" s="86"/>
      <c r="D2" s="86"/>
      <c r="E2" s="54" t="s">
        <v>50</v>
      </c>
      <c r="F2" s="55" t="s">
        <v>51</v>
      </c>
    </row>
    <row r="3" spans="1:7" s="10" customFormat="1" ht="25.5" customHeight="1">
      <c r="A3" s="8" t="s">
        <v>52</v>
      </c>
      <c r="B3" s="8" t="s">
        <v>53</v>
      </c>
      <c r="C3" s="8" t="s">
        <v>54</v>
      </c>
      <c r="D3" s="8" t="s">
        <v>55</v>
      </c>
      <c r="E3" s="8" t="s">
        <v>56</v>
      </c>
      <c r="F3" s="11" t="s">
        <v>57</v>
      </c>
      <c r="G3" s="40" t="s">
        <v>57</v>
      </c>
    </row>
    <row r="4" spans="1:7" ht="108">
      <c r="A4" s="6" t="s">
        <v>1</v>
      </c>
      <c r="B4" s="9">
        <v>3</v>
      </c>
      <c r="C4" s="7" t="s">
        <v>58</v>
      </c>
      <c r="D4" s="59" t="s">
        <v>59</v>
      </c>
      <c r="E4" s="60" t="s">
        <v>60</v>
      </c>
      <c r="F4" s="61" t="s">
        <v>61</v>
      </c>
      <c r="G4" s="62" t="s">
        <v>62</v>
      </c>
    </row>
    <row r="5" spans="1:7" ht="148.5">
      <c r="A5" s="6" t="s">
        <v>63</v>
      </c>
      <c r="B5" s="9">
        <v>-3</v>
      </c>
      <c r="C5" s="7" t="s">
        <v>64</v>
      </c>
      <c r="D5" s="59" t="s">
        <v>65</v>
      </c>
      <c r="E5" s="59" t="s">
        <v>66</v>
      </c>
      <c r="F5" s="61" t="s">
        <v>67</v>
      </c>
      <c r="G5" s="63"/>
    </row>
    <row r="6" spans="1:7" ht="122.25" customHeight="1">
      <c r="A6" s="6" t="s">
        <v>3</v>
      </c>
      <c r="B6" s="9">
        <v>5</v>
      </c>
      <c r="C6" s="7" t="s">
        <v>68</v>
      </c>
      <c r="D6" s="59" t="s">
        <v>69</v>
      </c>
      <c r="E6" s="59" t="s">
        <v>70</v>
      </c>
      <c r="F6" s="62" t="s">
        <v>62</v>
      </c>
      <c r="G6" s="44"/>
    </row>
    <row r="7" spans="1:7" ht="201" customHeight="1">
      <c r="A7" s="26" t="s">
        <v>4</v>
      </c>
      <c r="B7" s="9">
        <v>-3</v>
      </c>
      <c r="C7" s="7" t="s">
        <v>71</v>
      </c>
      <c r="D7" s="59" t="s">
        <v>72</v>
      </c>
      <c r="E7" s="59" t="s">
        <v>73</v>
      </c>
      <c r="F7" s="61" t="s">
        <v>74</v>
      </c>
      <c r="G7" s="45"/>
    </row>
    <row r="8" spans="1:7" ht="126" customHeight="1">
      <c r="A8" s="6" t="s">
        <v>75</v>
      </c>
      <c r="B8" s="9">
        <v>-3</v>
      </c>
      <c r="C8" s="7" t="s">
        <v>76</v>
      </c>
      <c r="D8" s="59" t="s">
        <v>77</v>
      </c>
      <c r="E8" s="59" t="s">
        <v>78</v>
      </c>
      <c r="F8" s="61" t="s">
        <v>79</v>
      </c>
      <c r="G8" s="64" t="s">
        <v>80</v>
      </c>
    </row>
    <row r="9" spans="1:7" ht="125.25" customHeight="1">
      <c r="A9" s="6" t="s">
        <v>81</v>
      </c>
      <c r="B9" s="9">
        <v>3</v>
      </c>
      <c r="C9" s="7" t="s">
        <v>82</v>
      </c>
      <c r="D9" s="59" t="s">
        <v>83</v>
      </c>
      <c r="E9" s="59" t="s">
        <v>84</v>
      </c>
      <c r="F9" s="61" t="s">
        <v>85</v>
      </c>
      <c r="G9" s="44"/>
    </row>
    <row r="10" spans="1:7">
      <c r="B10" s="14">
        <f>SUM(B4:B9)</f>
        <v>2</v>
      </c>
    </row>
    <row r="11" spans="1:7" ht="245.1" customHeight="1">
      <c r="A11" s="87" t="s">
        <v>86</v>
      </c>
      <c r="B11" s="89"/>
      <c r="C11" s="89"/>
      <c r="D11" s="90"/>
      <c r="E11" s="87" t="s">
        <v>87</v>
      </c>
      <c r="F11" s="88"/>
    </row>
  </sheetData>
  <mergeCells count="4">
    <mergeCell ref="A1:F1"/>
    <mergeCell ref="B2:D2"/>
    <mergeCell ref="E11:F11"/>
    <mergeCell ref="A11:D11"/>
  </mergeCells>
  <hyperlinks>
    <hyperlink ref="F4" r:id="rId1" display="https://www.grandviewresearch.com/industry-analysis/candles-market_x000a__x000a__x000a_https://www.custommarketinsights.com/report/us-candle-market/" xr:uid="{0015E61C-BFA5-4232-8439-BC87B75E4785}"/>
    <hyperlink ref="G4" r:id="rId2" display="https://www.custommarketinsights.com/report/us-candle-market/" xr:uid="{182B74E8-354C-4D8C-9320-E179D8403DF9}"/>
    <hyperlink ref="F5" r:id="rId3" xr:uid="{A1DC1721-58D4-44E5-AB46-2F1DA8CE4F63}"/>
    <hyperlink ref="F6" r:id="rId4" display="https://www.custommarketinsights.com/report/us-candle-market/" xr:uid="{36CF7678-E602-4D96-8D86-30FAB9AD1B8F}"/>
    <hyperlink ref="F7" r:id="rId5" xr:uid="{7F1605DE-6641-4C58-B56D-35B09348E9E6}"/>
    <hyperlink ref="F8" r:id="rId6" xr:uid="{9C99B110-987D-4989-90E9-D20512C29C07}"/>
    <hyperlink ref="G8" r:id="rId7" xr:uid="{0CB238DD-BFF5-4706-AEEE-63B26EE01F09}"/>
    <hyperlink ref="F9" r:id="rId8" xr:uid="{0CC83335-C93E-40A7-A00B-74863783A15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A7FE6-E8B4-D94C-A475-CF9DFE2D0D64}">
  <dimension ref="A1:F12"/>
  <sheetViews>
    <sheetView topLeftCell="A7" zoomScale="73" zoomScaleNormal="73" workbookViewId="0">
      <selection activeCell="E9" sqref="E9"/>
    </sheetView>
  </sheetViews>
  <sheetFormatPr defaultColWidth="10.85546875" defaultRowHeight="15"/>
  <cols>
    <col min="1" max="1" width="23.85546875" customWidth="1"/>
    <col min="2" max="2" width="15.28515625" style="3" customWidth="1"/>
    <col min="3" max="3" width="49.140625" customWidth="1"/>
    <col min="4" max="4" width="59.7109375" customWidth="1"/>
    <col min="5" max="5" width="39.140625" customWidth="1"/>
    <col min="6" max="6" width="40.28515625" customWidth="1"/>
  </cols>
  <sheetData>
    <row r="1" spans="1:6" ht="25.5">
      <c r="A1" s="85" t="s">
        <v>88</v>
      </c>
      <c r="B1" s="85"/>
      <c r="C1" s="85"/>
      <c r="D1" s="85"/>
      <c r="E1" s="85"/>
      <c r="F1" s="85"/>
    </row>
    <row r="2" spans="1:6" ht="30">
      <c r="A2" s="53" t="s">
        <v>48</v>
      </c>
      <c r="B2" s="86" t="s">
        <v>49</v>
      </c>
      <c r="C2" s="86"/>
      <c r="D2" s="86"/>
      <c r="E2" s="54" t="s">
        <v>50</v>
      </c>
      <c r="F2" s="55" t="s">
        <v>51</v>
      </c>
    </row>
    <row r="3" spans="1:6" s="10" customFormat="1">
      <c r="A3" s="8" t="s">
        <v>52</v>
      </c>
      <c r="B3" s="8" t="s">
        <v>53</v>
      </c>
      <c r="C3" s="8" t="s">
        <v>54</v>
      </c>
      <c r="D3" s="8" t="s">
        <v>89</v>
      </c>
      <c r="E3" s="8" t="s">
        <v>56</v>
      </c>
      <c r="F3" s="11" t="s">
        <v>57</v>
      </c>
    </row>
    <row r="4" spans="1:6" ht="132" customHeight="1">
      <c r="A4" s="6" t="s">
        <v>1</v>
      </c>
      <c r="B4" s="9">
        <v>5</v>
      </c>
      <c r="C4" s="7" t="s">
        <v>58</v>
      </c>
      <c r="D4" s="65" t="s">
        <v>90</v>
      </c>
      <c r="E4" s="60" t="s">
        <v>60</v>
      </c>
      <c r="F4" s="28" t="s">
        <v>91</v>
      </c>
    </row>
    <row r="5" spans="1:6" ht="190.5" customHeight="1">
      <c r="A5" s="6" t="s">
        <v>63</v>
      </c>
      <c r="B5" s="9">
        <v>-1</v>
      </c>
      <c r="C5" s="7" t="s">
        <v>64</v>
      </c>
      <c r="D5" s="65" t="s">
        <v>92</v>
      </c>
      <c r="E5" s="59" t="s">
        <v>66</v>
      </c>
      <c r="F5" s="28" t="s">
        <v>93</v>
      </c>
    </row>
    <row r="6" spans="1:6" ht="148.5" customHeight="1">
      <c r="A6" s="6" t="s">
        <v>3</v>
      </c>
      <c r="B6" s="9">
        <v>3</v>
      </c>
      <c r="C6" s="7" t="s">
        <v>68</v>
      </c>
      <c r="D6" s="65" t="s">
        <v>94</v>
      </c>
      <c r="E6" s="59" t="s">
        <v>70</v>
      </c>
      <c r="F6" s="28" t="s">
        <v>95</v>
      </c>
    </row>
    <row r="7" spans="1:6" ht="212.25" customHeight="1">
      <c r="A7" s="26" t="s">
        <v>4</v>
      </c>
      <c r="B7" s="9">
        <v>-1</v>
      </c>
      <c r="C7" s="7" t="s">
        <v>71</v>
      </c>
      <c r="D7" s="65" t="s">
        <v>96</v>
      </c>
      <c r="E7" s="59" t="s">
        <v>73</v>
      </c>
      <c r="F7" s="71" t="s">
        <v>97</v>
      </c>
    </row>
    <row r="8" spans="1:6" ht="119.25" customHeight="1">
      <c r="A8" s="6" t="s">
        <v>75</v>
      </c>
      <c r="B8" s="9">
        <v>-1</v>
      </c>
      <c r="C8" s="7" t="s">
        <v>76</v>
      </c>
      <c r="D8" s="65" t="s">
        <v>98</v>
      </c>
      <c r="E8" s="59" t="s">
        <v>78</v>
      </c>
      <c r="F8" s="28" t="s">
        <v>99</v>
      </c>
    </row>
    <row r="9" spans="1:6" ht="126" customHeight="1">
      <c r="A9" s="6" t="s">
        <v>81</v>
      </c>
      <c r="B9" s="9">
        <v>3</v>
      </c>
      <c r="C9" s="7" t="s">
        <v>82</v>
      </c>
      <c r="D9" s="65" t="s">
        <v>100</v>
      </c>
      <c r="E9" s="59" t="s">
        <v>84</v>
      </c>
      <c r="F9" s="72" t="s">
        <v>101</v>
      </c>
    </row>
    <row r="10" spans="1:6">
      <c r="A10" s="6"/>
      <c r="B10" s="9"/>
      <c r="C10" s="7"/>
      <c r="D10" s="7"/>
      <c r="E10" s="7"/>
      <c r="F10" s="7"/>
    </row>
    <row r="11" spans="1:6">
      <c r="B11" s="14">
        <f>SUM(B4:B10)</f>
        <v>8</v>
      </c>
    </row>
    <row r="12" spans="1:6" ht="245.1" customHeight="1">
      <c r="A12" s="12" t="s">
        <v>102</v>
      </c>
      <c r="B12" s="91"/>
      <c r="C12" s="91"/>
      <c r="D12" s="91"/>
      <c r="E12" s="12" t="s">
        <v>103</v>
      </c>
      <c r="F12" s="15"/>
    </row>
  </sheetData>
  <mergeCells count="3">
    <mergeCell ref="A1:F1"/>
    <mergeCell ref="B2:D2"/>
    <mergeCell ref="B12:D12"/>
  </mergeCells>
  <hyperlinks>
    <hyperlink ref="F4" r:id="rId1" xr:uid="{8CE508EC-2687-4F01-96A1-63CBD15E7B3F}"/>
    <hyperlink ref="F5" r:id="rId2" display="https://www.archivemarketresearch.com/reports/us-scented-candles-market-137    https://www.cpsc.gov/Business--Manufacturing/Business-Education/Business-Guidance/Candles   https://www.trade.gov/us-colombia-tpa     https://www.ibisworld.com/united-states/industry/candle-manufacturing/4260/" xr:uid="{171714EA-303A-4154-B5B8-FEEB0A874D6A}"/>
    <hyperlink ref="F6" r:id="rId3" location="topicOverview    https://www.trade.gov/us-colombia-tpa" xr:uid="{4BAA14F2-2827-4C25-9C02-5CB9985389A2}"/>
    <hyperlink ref="F7" r:id="rId4" xr:uid="{BACB3B40-214A-4B7A-B522-F105ED59AA75}"/>
    <hyperlink ref="F8" r:id="rId5" xr:uid="{F278F185-F37D-4CA8-A443-36555DC0C20B}"/>
    <hyperlink ref="F9" r:id="rId6" xr:uid="{FE2BEEDE-7A8A-4C80-AF7C-0120B69222F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B3091-B4E7-0449-BA44-8091D9284F1E}">
  <dimension ref="A1:J11"/>
  <sheetViews>
    <sheetView topLeftCell="A8" zoomScale="73" zoomScaleNormal="73" workbookViewId="0">
      <selection activeCell="D9" sqref="D9"/>
    </sheetView>
  </sheetViews>
  <sheetFormatPr defaultColWidth="10.85546875" defaultRowHeight="15"/>
  <cols>
    <col min="1" max="1" width="23.85546875" customWidth="1"/>
    <col min="2" max="2" width="15.28515625" style="3" customWidth="1"/>
    <col min="3" max="3" width="49.140625" customWidth="1"/>
    <col min="4" max="4" width="59.7109375" customWidth="1"/>
    <col min="5" max="5" width="71.5703125" customWidth="1"/>
    <col min="6" max="6" width="40.28515625" customWidth="1"/>
    <col min="7" max="8" width="36.5703125" bestFit="1" customWidth="1"/>
  </cols>
  <sheetData>
    <row r="1" spans="1:10" ht="25.5">
      <c r="A1" s="85" t="s">
        <v>12</v>
      </c>
      <c r="B1" s="85"/>
      <c r="C1" s="85"/>
      <c r="D1" s="85"/>
      <c r="E1" s="85"/>
      <c r="F1" s="85"/>
    </row>
    <row r="2" spans="1:10" ht="30">
      <c r="A2" s="54" t="s">
        <v>48</v>
      </c>
      <c r="B2" s="86" t="s">
        <v>49</v>
      </c>
      <c r="C2" s="86"/>
      <c r="D2" s="86"/>
      <c r="E2" s="53" t="s">
        <v>104</v>
      </c>
      <c r="F2" s="58" t="s">
        <v>51</v>
      </c>
    </row>
    <row r="3" spans="1:10" s="10" customFormat="1">
      <c r="A3" s="8" t="s">
        <v>52</v>
      </c>
      <c r="B3" s="8" t="s">
        <v>53</v>
      </c>
      <c r="C3" s="8" t="s">
        <v>54</v>
      </c>
      <c r="D3" s="8" t="s">
        <v>89</v>
      </c>
      <c r="E3" s="8" t="s">
        <v>56</v>
      </c>
      <c r="F3" s="40" t="s">
        <v>57</v>
      </c>
      <c r="G3" s="40" t="s">
        <v>57</v>
      </c>
      <c r="H3" s="40" t="s">
        <v>57</v>
      </c>
    </row>
    <row r="4" spans="1:10" ht="137.25" customHeight="1">
      <c r="A4" s="6" t="s">
        <v>1</v>
      </c>
      <c r="B4" s="9">
        <v>5</v>
      </c>
      <c r="C4" s="7" t="s">
        <v>58</v>
      </c>
      <c r="D4" s="7" t="s">
        <v>105</v>
      </c>
      <c r="E4" s="39" t="s">
        <v>106</v>
      </c>
      <c r="F4" s="67" t="s">
        <v>107</v>
      </c>
      <c r="G4" s="36" t="s">
        <v>108</v>
      </c>
      <c r="H4" s="45"/>
      <c r="I4" s="45"/>
      <c r="J4" s="45"/>
    </row>
    <row r="5" spans="1:10" ht="148.5">
      <c r="A5" s="6" t="s">
        <v>63</v>
      </c>
      <c r="B5" s="9">
        <v>-3</v>
      </c>
      <c r="C5" s="7" t="s">
        <v>64</v>
      </c>
      <c r="D5" s="7" t="s">
        <v>109</v>
      </c>
      <c r="E5" s="39" t="s">
        <v>110</v>
      </c>
      <c r="F5" s="34" t="s">
        <v>111</v>
      </c>
      <c r="G5" s="36" t="s">
        <v>112</v>
      </c>
      <c r="H5" s="45"/>
      <c r="I5" s="45"/>
      <c r="J5" s="45"/>
    </row>
    <row r="6" spans="1:10" ht="157.5" customHeight="1">
      <c r="A6" s="6" t="s">
        <v>3</v>
      </c>
      <c r="B6" s="9">
        <v>3</v>
      </c>
      <c r="C6" s="7" t="s">
        <v>68</v>
      </c>
      <c r="D6" s="7" t="s">
        <v>113</v>
      </c>
      <c r="E6" s="39" t="s">
        <v>114</v>
      </c>
      <c r="F6" s="36" t="s">
        <v>115</v>
      </c>
      <c r="G6" s="36" t="s">
        <v>108</v>
      </c>
      <c r="H6" s="36" t="s">
        <v>116</v>
      </c>
      <c r="I6" s="45"/>
      <c r="J6" s="45"/>
    </row>
    <row r="7" spans="1:10" ht="138.75" customHeight="1">
      <c r="A7" s="26" t="s">
        <v>4</v>
      </c>
      <c r="B7" s="9">
        <v>-3</v>
      </c>
      <c r="C7" s="7" t="s">
        <v>71</v>
      </c>
      <c r="D7" s="7" t="s">
        <v>117</v>
      </c>
      <c r="E7" s="39" t="s">
        <v>118</v>
      </c>
      <c r="F7" s="36" t="s">
        <v>119</v>
      </c>
      <c r="G7" s="43" t="s">
        <v>120</v>
      </c>
      <c r="H7" s="45"/>
      <c r="I7" s="45"/>
      <c r="J7" s="45"/>
    </row>
    <row r="8" spans="1:10" ht="190.5" customHeight="1">
      <c r="A8" s="6" t="s">
        <v>75</v>
      </c>
      <c r="B8" s="9">
        <v>-3</v>
      </c>
      <c r="C8" s="7" t="s">
        <v>76</v>
      </c>
      <c r="D8" s="7" t="s">
        <v>121</v>
      </c>
      <c r="E8" s="39" t="s">
        <v>122</v>
      </c>
      <c r="F8" s="67" t="s">
        <v>123</v>
      </c>
      <c r="G8" s="36" t="s">
        <v>124</v>
      </c>
      <c r="H8" s="34" t="s">
        <v>125</v>
      </c>
      <c r="I8" s="45"/>
      <c r="J8" s="45"/>
    </row>
    <row r="9" spans="1:10" ht="171" customHeight="1">
      <c r="A9" s="6" t="s">
        <v>81</v>
      </c>
      <c r="B9" s="9">
        <v>1</v>
      </c>
      <c r="C9" s="7" t="s">
        <v>82</v>
      </c>
      <c r="D9" s="7" t="s">
        <v>126</v>
      </c>
      <c r="E9" s="39" t="s">
        <v>127</v>
      </c>
      <c r="F9" s="36" t="s">
        <v>128</v>
      </c>
      <c r="G9" s="43" t="s">
        <v>129</v>
      </c>
      <c r="H9" s="34" t="s">
        <v>130</v>
      </c>
      <c r="I9" s="43" t="s">
        <v>131</v>
      </c>
      <c r="J9" s="45"/>
    </row>
    <row r="10" spans="1:10">
      <c r="B10" s="14">
        <f>SUM(B4:B9)</f>
        <v>0</v>
      </c>
      <c r="F10" s="45"/>
      <c r="G10" s="45"/>
      <c r="H10" s="45"/>
      <c r="I10" s="45"/>
      <c r="J10" s="45"/>
    </row>
    <row r="11" spans="1:10" ht="245.1" customHeight="1">
      <c r="A11" s="12" t="s">
        <v>102</v>
      </c>
      <c r="B11" s="92" t="s">
        <v>132</v>
      </c>
      <c r="C11" s="92"/>
      <c r="D11" s="92"/>
      <c r="E11" s="93" t="s">
        <v>103</v>
      </c>
      <c r="F11" s="94"/>
    </row>
  </sheetData>
  <mergeCells count="4">
    <mergeCell ref="A1:F1"/>
    <mergeCell ref="B2:D2"/>
    <mergeCell ref="B11:D11"/>
    <mergeCell ref="E11:F11"/>
  </mergeCells>
  <hyperlinks>
    <hyperlink ref="F4" r:id="rId1" xr:uid="{A9DBE917-304A-47F0-9332-1551B6388870}"/>
    <hyperlink ref="G5" r:id="rId2" xr:uid="{4C362A7E-13F7-458F-ABCB-A2F05ACEF105}"/>
    <hyperlink ref="F7" r:id="rId3" xr:uid="{4B1824AB-141B-4301-BF53-E9FBC7583957}"/>
    <hyperlink ref="G7" r:id="rId4" xr:uid="{F4D77B1E-594F-4313-A0DC-24CF002B1242}"/>
    <hyperlink ref="F8" r:id="rId5" xr:uid="{95C754F1-1AE4-4169-B4B0-57CE6E05A3A6}"/>
    <hyperlink ref="G8" r:id="rId6" xr:uid="{DC2EF956-1C0B-454A-A8FB-DB4EDD5B9699}"/>
    <hyperlink ref="F9" r:id="rId7" xr:uid="{8CD8C869-B927-4CB6-8F13-D1E64AC345C3}"/>
    <hyperlink ref="G9" r:id="rId8" xr:uid="{B8EDDACF-1746-4500-B0FD-0B92F6BE1B4A}"/>
    <hyperlink ref="I9" r:id="rId9" xr:uid="{1DE20F83-8F4D-4D6A-B2D5-03DD7976E686}"/>
    <hyperlink ref="F6" r:id="rId10" xr:uid="{33C08DCF-1882-432D-AC30-749D203DBAF8}"/>
    <hyperlink ref="G6" r:id="rId11" xr:uid="{F3D31029-000C-4890-AAE8-EE1F5B36C72B}"/>
    <hyperlink ref="H6" r:id="rId12" xr:uid="{40128F25-D5E2-4315-966C-8B12E81C54F5}"/>
    <hyperlink ref="G4" r:id="rId13" xr:uid="{4F6C5E6B-7874-4FAD-A654-CC2C9510C6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3588-38B0-BA42-B29E-A319A6477BA6}">
  <dimension ref="A1:F17"/>
  <sheetViews>
    <sheetView topLeftCell="A8" zoomScale="69" zoomScaleNormal="69" workbookViewId="0">
      <selection activeCell="C4" sqref="C4"/>
    </sheetView>
  </sheetViews>
  <sheetFormatPr defaultColWidth="10.85546875" defaultRowHeight="15"/>
  <cols>
    <col min="1" max="1" width="22.42578125" customWidth="1"/>
    <col min="2" max="2" width="13.140625" style="3" customWidth="1"/>
    <col min="3" max="3" width="70.5703125" customWidth="1"/>
    <col min="4" max="4" width="59.7109375" customWidth="1"/>
    <col min="5" max="5" width="39.140625" customWidth="1"/>
    <col min="6" max="6" width="40.28515625" customWidth="1"/>
  </cols>
  <sheetData>
    <row r="1" spans="1:6" ht="25.5">
      <c r="A1" s="85" t="s">
        <v>133</v>
      </c>
      <c r="B1" s="85"/>
      <c r="C1" s="85"/>
      <c r="D1" s="85"/>
      <c r="E1" s="85"/>
      <c r="F1" s="85"/>
    </row>
    <row r="2" spans="1:6" ht="30">
      <c r="A2" s="54" t="s">
        <v>48</v>
      </c>
      <c r="B2" s="86" t="s">
        <v>49</v>
      </c>
      <c r="C2" s="86"/>
      <c r="D2" s="86"/>
      <c r="E2" s="54" t="s">
        <v>50</v>
      </c>
      <c r="F2" s="58" t="s">
        <v>51</v>
      </c>
    </row>
    <row r="3" spans="1:6" s="10" customFormat="1">
      <c r="A3" s="8" t="s">
        <v>52</v>
      </c>
      <c r="B3" s="8" t="s">
        <v>53</v>
      </c>
      <c r="C3" s="8" t="s">
        <v>54</v>
      </c>
      <c r="D3" s="8" t="s">
        <v>89</v>
      </c>
      <c r="E3" s="8" t="s">
        <v>56</v>
      </c>
      <c r="F3" s="40" t="s">
        <v>57</v>
      </c>
    </row>
    <row r="4" spans="1:6" ht="183.75" customHeight="1">
      <c r="A4" s="6" t="s">
        <v>1</v>
      </c>
      <c r="B4" s="9">
        <v>5</v>
      </c>
      <c r="C4" s="39" t="s">
        <v>58</v>
      </c>
      <c r="D4" s="34" t="s">
        <v>134</v>
      </c>
      <c r="E4" s="35" t="s">
        <v>135</v>
      </c>
      <c r="F4" s="36" t="s">
        <v>136</v>
      </c>
    </row>
    <row r="5" spans="1:6" ht="94.5">
      <c r="A5" s="6" t="s">
        <v>63</v>
      </c>
      <c r="B5" s="9">
        <v>-3</v>
      </c>
      <c r="C5" s="39" t="s">
        <v>64</v>
      </c>
      <c r="D5" s="37" t="s">
        <v>137</v>
      </c>
      <c r="E5" s="38" t="s">
        <v>138</v>
      </c>
      <c r="F5" s="36" t="s">
        <v>139</v>
      </c>
    </row>
    <row r="6" spans="1:6" ht="81">
      <c r="A6" s="6" t="s">
        <v>3</v>
      </c>
      <c r="B6" s="9">
        <v>3</v>
      </c>
      <c r="C6" s="39" t="s">
        <v>68</v>
      </c>
      <c r="D6" s="37" t="s">
        <v>140</v>
      </c>
      <c r="E6" s="37" t="s">
        <v>141</v>
      </c>
      <c r="F6" s="36" t="s">
        <v>142</v>
      </c>
    </row>
    <row r="7" spans="1:6" ht="108">
      <c r="A7" s="26" t="s">
        <v>4</v>
      </c>
      <c r="B7" s="49">
        <v>-3</v>
      </c>
      <c r="C7" s="50" t="s">
        <v>71</v>
      </c>
      <c r="D7" s="51" t="s">
        <v>143</v>
      </c>
      <c r="E7" s="51" t="s">
        <v>144</v>
      </c>
      <c r="F7" s="52" t="s">
        <v>145</v>
      </c>
    </row>
    <row r="8" spans="1:6" ht="95.25">
      <c r="A8" s="47" t="s">
        <v>75</v>
      </c>
      <c r="B8" s="41">
        <v>-3</v>
      </c>
      <c r="C8" s="34" t="s">
        <v>76</v>
      </c>
      <c r="D8" s="37" t="s">
        <v>146</v>
      </c>
      <c r="E8" s="37" t="s">
        <v>147</v>
      </c>
      <c r="F8" s="42" t="s">
        <v>131</v>
      </c>
    </row>
    <row r="9" spans="1:6" ht="94.5">
      <c r="A9" s="47" t="s">
        <v>81</v>
      </c>
      <c r="B9" s="41">
        <v>5</v>
      </c>
      <c r="C9" s="34" t="s">
        <v>82</v>
      </c>
      <c r="D9" s="37" t="s">
        <v>148</v>
      </c>
      <c r="E9" s="37" t="s">
        <v>149</v>
      </c>
      <c r="F9" s="43" t="s">
        <v>131</v>
      </c>
    </row>
    <row r="10" spans="1:6">
      <c r="B10" s="44">
        <v>4</v>
      </c>
      <c r="C10" s="45"/>
      <c r="D10" s="70"/>
      <c r="E10" s="45"/>
      <c r="F10" s="45"/>
    </row>
    <row r="11" spans="1:6" ht="245.1" customHeight="1">
      <c r="A11" s="48" t="s">
        <v>102</v>
      </c>
      <c r="B11" s="46"/>
      <c r="C11" s="69" t="s">
        <v>150</v>
      </c>
      <c r="D11" s="68" t="s">
        <v>151</v>
      </c>
      <c r="E11" s="95" t="s">
        <v>152</v>
      </c>
      <c r="F11" s="96"/>
    </row>
    <row r="12" spans="1:6">
      <c r="B12" s="33"/>
      <c r="C12" s="32"/>
      <c r="D12" s="29"/>
      <c r="E12" s="30"/>
    </row>
    <row r="13" spans="1:6" ht="18.75">
      <c r="B13" s="31"/>
      <c r="C13" s="32"/>
      <c r="D13" s="66"/>
      <c r="E13" s="30"/>
    </row>
    <row r="14" spans="1:6">
      <c r="B14" s="31"/>
      <c r="C14" s="32"/>
      <c r="D14" s="29"/>
    </row>
    <row r="15" spans="1:6" ht="18.75">
      <c r="D15" s="66"/>
    </row>
    <row r="16" spans="1:6">
      <c r="D16" s="29"/>
    </row>
    <row r="17" spans="4:4" ht="18.75">
      <c r="D17" s="66"/>
    </row>
  </sheetData>
  <mergeCells count="3">
    <mergeCell ref="A1:F1"/>
    <mergeCell ref="B2:D2"/>
    <mergeCell ref="E11:F11"/>
  </mergeCells>
  <hyperlinks>
    <hyperlink ref="F9" r:id="rId1" xr:uid="{F736C137-6FEB-48CA-83A0-CAF93F20909F}"/>
    <hyperlink ref="F7" r:id="rId2" xr:uid="{09574B00-57F4-4DEF-A0A9-3E2BF38923B3}"/>
    <hyperlink ref="F6" r:id="rId3" xr:uid="{4D167EE3-B5D2-4A2D-8E3E-D1DAFC8C6D86}"/>
    <hyperlink ref="F5" r:id="rId4" xr:uid="{E6548F4A-B26E-4DBF-B164-68A2B6CB6213}"/>
    <hyperlink ref="F4" r:id="rId5" xr:uid="{3BC2523E-4267-41CB-A338-06C163C3646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opLeftCell="A7" zoomScale="73" zoomScaleNormal="73" workbookViewId="0">
      <selection activeCell="D6" sqref="D6"/>
    </sheetView>
  </sheetViews>
  <sheetFormatPr defaultColWidth="10.85546875" defaultRowHeight="15"/>
  <cols>
    <col min="1" max="1" width="23.85546875" customWidth="1"/>
    <col min="2" max="2" width="15.28515625" style="3" customWidth="1"/>
    <col min="3" max="3" width="49.140625" customWidth="1"/>
    <col min="4" max="4" width="59.7109375" customWidth="1"/>
    <col min="5" max="5" width="60.140625" customWidth="1"/>
    <col min="6" max="6" width="40.28515625" customWidth="1"/>
  </cols>
  <sheetData>
    <row r="1" spans="1:6" ht="25.5">
      <c r="A1" s="85" t="s">
        <v>153</v>
      </c>
      <c r="B1" s="85"/>
      <c r="C1" s="85"/>
      <c r="D1" s="85"/>
      <c r="E1" s="85"/>
      <c r="F1" s="85"/>
    </row>
    <row r="2" spans="1:6" ht="30">
      <c r="A2" s="54" t="s">
        <v>48</v>
      </c>
      <c r="B2" s="86" t="s">
        <v>49</v>
      </c>
      <c r="C2" s="86"/>
      <c r="D2" s="86"/>
      <c r="E2" s="53" t="s">
        <v>104</v>
      </c>
      <c r="F2" s="58" t="s">
        <v>51</v>
      </c>
    </row>
    <row r="3" spans="1:6" s="10" customFormat="1">
      <c r="A3" s="8" t="s">
        <v>52</v>
      </c>
      <c r="B3" s="8" t="s">
        <v>53</v>
      </c>
      <c r="C3" s="8" t="s">
        <v>54</v>
      </c>
      <c r="D3" s="8" t="s">
        <v>89</v>
      </c>
      <c r="E3" s="8" t="s">
        <v>56</v>
      </c>
      <c r="F3" s="11" t="s">
        <v>57</v>
      </c>
    </row>
    <row r="4" spans="1:6" ht="108">
      <c r="A4" s="6" t="s">
        <v>1</v>
      </c>
      <c r="B4" s="9">
        <v>5</v>
      </c>
      <c r="C4" s="7" t="s">
        <v>58</v>
      </c>
      <c r="D4" s="7" t="s">
        <v>154</v>
      </c>
      <c r="E4" s="7" t="s">
        <v>155</v>
      </c>
      <c r="F4" s="7" t="s">
        <v>156</v>
      </c>
    </row>
    <row r="5" spans="1:6" ht="148.5">
      <c r="A5" s="6" t="s">
        <v>63</v>
      </c>
      <c r="B5" s="9">
        <v>-2</v>
      </c>
      <c r="C5" s="7" t="s">
        <v>64</v>
      </c>
      <c r="D5" s="7" t="s">
        <v>157</v>
      </c>
      <c r="E5" s="7" t="s">
        <v>158</v>
      </c>
      <c r="F5" s="7" t="s">
        <v>159</v>
      </c>
    </row>
    <row r="6" spans="1:6" ht="108">
      <c r="A6" s="6" t="s">
        <v>3</v>
      </c>
      <c r="B6" s="9">
        <v>3</v>
      </c>
      <c r="C6" s="7" t="s">
        <v>68</v>
      </c>
      <c r="D6" s="7" t="s">
        <v>160</v>
      </c>
      <c r="E6" s="7" t="s">
        <v>161</v>
      </c>
      <c r="F6" s="7" t="s">
        <v>162</v>
      </c>
    </row>
    <row r="7" spans="1:6" ht="162">
      <c r="A7" s="26" t="s">
        <v>4</v>
      </c>
      <c r="B7" s="9">
        <v>-1</v>
      </c>
      <c r="C7" s="7" t="s">
        <v>71</v>
      </c>
      <c r="D7" s="7" t="s">
        <v>163</v>
      </c>
      <c r="E7" s="7" t="s">
        <v>164</v>
      </c>
      <c r="F7" s="7" t="s">
        <v>165</v>
      </c>
    </row>
    <row r="8" spans="1:6" ht="108">
      <c r="A8" s="6" t="s">
        <v>75</v>
      </c>
      <c r="B8" s="9">
        <v>0</v>
      </c>
      <c r="C8" s="7" t="s">
        <v>76</v>
      </c>
      <c r="D8" s="7" t="s">
        <v>166</v>
      </c>
      <c r="E8" s="4" t="s">
        <v>167</v>
      </c>
      <c r="F8" s="7" t="s">
        <v>168</v>
      </c>
    </row>
    <row r="9" spans="1:6" ht="108">
      <c r="A9" s="6" t="s">
        <v>81</v>
      </c>
      <c r="B9" s="9">
        <v>3</v>
      </c>
      <c r="C9" s="7" t="s">
        <v>82</v>
      </c>
      <c r="D9" s="7" t="s">
        <v>169</v>
      </c>
      <c r="E9" s="7" t="s">
        <v>170</v>
      </c>
      <c r="F9" s="7" t="s">
        <v>171</v>
      </c>
    </row>
    <row r="10" spans="1:6">
      <c r="B10" s="14">
        <v>8</v>
      </c>
    </row>
    <row r="11" spans="1:6" ht="245.1" customHeight="1">
      <c r="A11" s="12" t="s">
        <v>102</v>
      </c>
      <c r="B11" s="91" t="s">
        <v>172</v>
      </c>
      <c r="C11" s="91"/>
      <c r="D11" s="91"/>
      <c r="E11" s="97" t="s">
        <v>173</v>
      </c>
      <c r="F11" s="98"/>
    </row>
  </sheetData>
  <mergeCells count="4">
    <mergeCell ref="A1:F1"/>
    <mergeCell ref="B2:D2"/>
    <mergeCell ref="B11:D11"/>
    <mergeCell ref="E11:F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topLeftCell="A8" zoomScale="80" zoomScaleNormal="80" workbookViewId="0">
      <selection activeCell="B11" sqref="A11:D11"/>
    </sheetView>
  </sheetViews>
  <sheetFormatPr defaultColWidth="10.85546875" defaultRowHeight="15"/>
  <cols>
    <col min="1" max="1" width="22.42578125" customWidth="1"/>
    <col min="2" max="2" width="20.140625" style="3" bestFit="1" customWidth="1"/>
    <col min="3" max="3" width="49.140625" customWidth="1"/>
    <col min="4" max="4" width="59.7109375" customWidth="1"/>
    <col min="5" max="5" width="39.140625" customWidth="1"/>
    <col min="6" max="6" width="40.28515625" customWidth="1"/>
  </cols>
  <sheetData>
    <row r="1" spans="1:6" ht="25.5">
      <c r="A1" s="85" t="s">
        <v>174</v>
      </c>
      <c r="B1" s="85"/>
      <c r="C1" s="85"/>
      <c r="D1" s="85"/>
      <c r="E1" s="85"/>
      <c r="F1" s="85"/>
    </row>
    <row r="2" spans="1:6" ht="30">
      <c r="A2" s="5" t="s">
        <v>48</v>
      </c>
      <c r="B2" s="99" t="s">
        <v>49</v>
      </c>
      <c r="C2" s="99"/>
      <c r="D2" s="99"/>
      <c r="E2" s="5" t="s">
        <v>50</v>
      </c>
      <c r="F2" s="57" t="s">
        <v>51</v>
      </c>
    </row>
    <row r="3" spans="1:6" s="10" customFormat="1">
      <c r="A3" s="8" t="s">
        <v>52</v>
      </c>
      <c r="B3" s="8" t="s">
        <v>53</v>
      </c>
      <c r="C3" s="8" t="s">
        <v>54</v>
      </c>
      <c r="D3" s="8" t="s">
        <v>89</v>
      </c>
      <c r="E3" s="8" t="s">
        <v>56</v>
      </c>
      <c r="F3" s="11" t="s">
        <v>57</v>
      </c>
    </row>
    <row r="4" spans="1:6" ht="108">
      <c r="A4" s="6" t="s">
        <v>1</v>
      </c>
      <c r="B4" s="9">
        <v>5</v>
      </c>
      <c r="C4" s="7" t="s">
        <v>58</v>
      </c>
      <c r="D4" s="80" t="s">
        <v>175</v>
      </c>
      <c r="E4" s="80" t="s">
        <v>176</v>
      </c>
      <c r="F4" s="72" t="s">
        <v>177</v>
      </c>
    </row>
    <row r="5" spans="1:6" ht="148.5">
      <c r="A5" s="6" t="s">
        <v>63</v>
      </c>
      <c r="B5" s="9">
        <v>-3</v>
      </c>
      <c r="C5" s="7" t="s">
        <v>64</v>
      </c>
      <c r="D5" s="80" t="s">
        <v>178</v>
      </c>
      <c r="E5" s="81" t="s">
        <v>179</v>
      </c>
      <c r="F5" s="72" t="s">
        <v>180</v>
      </c>
    </row>
    <row r="6" spans="1:6" ht="108">
      <c r="A6" s="6" t="s">
        <v>3</v>
      </c>
      <c r="B6" s="9">
        <v>5</v>
      </c>
      <c r="C6" s="7" t="s">
        <v>68</v>
      </c>
      <c r="D6" s="80" t="s">
        <v>181</v>
      </c>
      <c r="E6" s="81" t="s">
        <v>182</v>
      </c>
      <c r="F6" s="72" t="s">
        <v>183</v>
      </c>
    </row>
    <row r="7" spans="1:6" ht="162">
      <c r="A7" s="26" t="s">
        <v>4</v>
      </c>
      <c r="B7" s="9">
        <v>-1</v>
      </c>
      <c r="C7" s="7" t="s">
        <v>71</v>
      </c>
      <c r="D7" s="80" t="s">
        <v>184</v>
      </c>
      <c r="E7" s="80" t="s">
        <v>185</v>
      </c>
      <c r="F7" s="72" t="s">
        <v>186</v>
      </c>
    </row>
    <row r="8" spans="1:6" ht="108">
      <c r="A8" s="6" t="s">
        <v>75</v>
      </c>
      <c r="B8" s="9">
        <v>-1</v>
      </c>
      <c r="C8" s="7" t="s">
        <v>76</v>
      </c>
      <c r="D8" s="80" t="s">
        <v>187</v>
      </c>
      <c r="E8" s="80" t="s">
        <v>188</v>
      </c>
      <c r="F8" s="72" t="s">
        <v>189</v>
      </c>
    </row>
    <row r="9" spans="1:6" ht="108">
      <c r="A9" s="6" t="s">
        <v>81</v>
      </c>
      <c r="B9" s="9">
        <v>1</v>
      </c>
      <c r="C9" s="7" t="s">
        <v>82</v>
      </c>
      <c r="D9" s="80" t="s">
        <v>190</v>
      </c>
      <c r="E9" s="80" t="s">
        <v>191</v>
      </c>
      <c r="F9" s="72" t="s">
        <v>192</v>
      </c>
    </row>
    <row r="10" spans="1:6">
      <c r="B10" s="3">
        <f>SUM(B4:B9)</f>
        <v>6</v>
      </c>
    </row>
    <row r="11" spans="1:6" ht="245.1" customHeight="1">
      <c r="A11" s="93" t="s">
        <v>102</v>
      </c>
      <c r="B11" s="100"/>
      <c r="C11" s="100"/>
      <c r="D11" s="98"/>
      <c r="E11" s="97" t="s">
        <v>193</v>
      </c>
      <c r="F11" s="98"/>
    </row>
  </sheetData>
  <mergeCells count="4">
    <mergeCell ref="A1:F1"/>
    <mergeCell ref="B2:D2"/>
    <mergeCell ref="E11:F11"/>
    <mergeCell ref="A11:D11"/>
  </mergeCells>
  <hyperlinks>
    <hyperlink ref="F4" r:id="rId1" xr:uid="{C78DE195-A11B-4653-A7D4-A23C6F2EBD08}"/>
    <hyperlink ref="F5" r:id="rId2" xr:uid="{395E6A8C-8837-4ABE-94E8-2E05E7350E87}"/>
    <hyperlink ref="F6" r:id="rId3" xr:uid="{315C7520-5D8C-4A77-97F1-A9339C3BC72F}"/>
    <hyperlink ref="F7" r:id="rId4" xr:uid="{CAB40316-82AD-46BB-ACB3-A9CE283ABE72}"/>
    <hyperlink ref="F8" r:id="rId5" xr:uid="{86CAB936-6D44-4333-8AE2-BAC0DDD44DEB}"/>
    <hyperlink ref="F9" r:id="rId6" xr:uid="{48236DF8-0EF5-4D3F-80D8-2FE76523D950}"/>
  </hyperlinks>
  <pageMargins left="0.7" right="0.7" top="0.75" bottom="0.75" header="0.3" footer="0.3"/>
  <pageSetup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topLeftCell="A7" zoomScale="80" zoomScaleNormal="80" workbookViewId="0">
      <selection activeCell="M11" sqref="M11"/>
    </sheetView>
  </sheetViews>
  <sheetFormatPr defaultColWidth="10.85546875" defaultRowHeight="15" customHeight="1"/>
  <cols>
    <col min="1" max="1" width="22.42578125" customWidth="1"/>
    <col min="2" max="2" width="13.140625" style="3" customWidth="1"/>
    <col min="3" max="3" width="49.140625" customWidth="1"/>
    <col min="4" max="4" width="59.7109375" customWidth="1"/>
    <col min="5" max="5" width="66.42578125" customWidth="1"/>
    <col min="6" max="6" width="42.42578125" customWidth="1"/>
  </cols>
  <sheetData>
    <row r="1" spans="1:7" ht="25.5">
      <c r="A1" s="85" t="s">
        <v>194</v>
      </c>
      <c r="B1" s="85"/>
      <c r="C1" s="85"/>
      <c r="D1" s="85"/>
      <c r="E1" s="85"/>
      <c r="F1" s="85"/>
    </row>
    <row r="2" spans="1:7">
      <c r="A2" s="5" t="s">
        <v>48</v>
      </c>
      <c r="B2" s="101" t="s">
        <v>49</v>
      </c>
      <c r="C2" s="99"/>
      <c r="D2" s="99"/>
      <c r="E2" s="5" t="s">
        <v>50</v>
      </c>
      <c r="F2" s="56" t="s">
        <v>51</v>
      </c>
    </row>
    <row r="3" spans="1:7" s="10" customFormat="1">
      <c r="A3" s="8" t="s">
        <v>52</v>
      </c>
      <c r="B3" s="8" t="s">
        <v>53</v>
      </c>
      <c r="C3" s="8" t="s">
        <v>54</v>
      </c>
      <c r="D3" s="8" t="s">
        <v>89</v>
      </c>
      <c r="E3" s="8" t="s">
        <v>56</v>
      </c>
      <c r="F3" s="11" t="s">
        <v>57</v>
      </c>
    </row>
    <row r="4" spans="1:7" ht="121.5">
      <c r="A4" s="6" t="s">
        <v>1</v>
      </c>
      <c r="B4" s="9">
        <v>3</v>
      </c>
      <c r="C4" s="7" t="s">
        <v>58</v>
      </c>
      <c r="D4" s="7" t="s">
        <v>195</v>
      </c>
      <c r="E4" s="7" t="s">
        <v>196</v>
      </c>
      <c r="F4" s="72" t="s">
        <v>197</v>
      </c>
      <c r="G4" s="78" t="s">
        <v>198</v>
      </c>
    </row>
    <row r="5" spans="1:7" ht="148.5">
      <c r="A5" s="6" t="s">
        <v>63</v>
      </c>
      <c r="B5" s="9">
        <v>-3</v>
      </c>
      <c r="C5" s="7" t="s">
        <v>64</v>
      </c>
      <c r="D5" s="7" t="s">
        <v>199</v>
      </c>
      <c r="E5" s="7" t="s">
        <v>200</v>
      </c>
      <c r="F5" s="72" t="s">
        <v>201</v>
      </c>
      <c r="G5" s="78" t="s">
        <v>198</v>
      </c>
    </row>
    <row r="6" spans="1:7" ht="165" customHeight="1">
      <c r="A6" s="6" t="s">
        <v>3</v>
      </c>
      <c r="B6" s="9">
        <v>5</v>
      </c>
      <c r="C6" s="7" t="s">
        <v>68</v>
      </c>
      <c r="D6" s="7" t="s">
        <v>202</v>
      </c>
      <c r="E6" s="7" t="s">
        <v>203</v>
      </c>
      <c r="F6" s="72" t="s">
        <v>204</v>
      </c>
      <c r="G6" s="78" t="s">
        <v>205</v>
      </c>
    </row>
    <row r="7" spans="1:7" ht="162">
      <c r="A7" s="26" t="s">
        <v>4</v>
      </c>
      <c r="B7" s="9">
        <v>-3</v>
      </c>
      <c r="C7" s="7" t="s">
        <v>71</v>
      </c>
      <c r="D7" s="7" t="s">
        <v>206</v>
      </c>
      <c r="E7" s="7" t="s">
        <v>207</v>
      </c>
      <c r="F7" s="72" t="s">
        <v>208</v>
      </c>
      <c r="G7" s="78" t="s">
        <v>74</v>
      </c>
    </row>
    <row r="8" spans="1:7" ht="141.75" customHeight="1">
      <c r="A8" s="26" t="s">
        <v>75</v>
      </c>
      <c r="B8" s="9">
        <v>-1</v>
      </c>
      <c r="C8" s="7" t="s">
        <v>76</v>
      </c>
      <c r="D8" s="7" t="s">
        <v>209</v>
      </c>
      <c r="E8" s="7" t="s">
        <v>210</v>
      </c>
      <c r="F8" s="72" t="s">
        <v>119</v>
      </c>
      <c r="G8" s="78" t="s">
        <v>211</v>
      </c>
    </row>
    <row r="9" spans="1:7" ht="165.75" customHeight="1">
      <c r="A9" s="26" t="s">
        <v>81</v>
      </c>
      <c r="B9" s="9">
        <v>1</v>
      </c>
      <c r="C9" s="7" t="s">
        <v>82</v>
      </c>
      <c r="D9" s="7" t="s">
        <v>212</v>
      </c>
      <c r="E9" s="7" t="s">
        <v>213</v>
      </c>
      <c r="F9" s="79" t="s">
        <v>131</v>
      </c>
      <c r="G9" s="78" t="s">
        <v>211</v>
      </c>
    </row>
    <row r="10" spans="1:7" ht="15" customHeight="1">
      <c r="B10" s="3">
        <f>SUM(B4:B9)</f>
        <v>2</v>
      </c>
    </row>
    <row r="11" spans="1:7" ht="245.1" customHeight="1">
      <c r="A11" s="12" t="s">
        <v>102</v>
      </c>
      <c r="B11" s="102" t="s">
        <v>214</v>
      </c>
      <c r="C11" s="92"/>
      <c r="D11" s="92"/>
      <c r="E11" s="93" t="s">
        <v>103</v>
      </c>
      <c r="F11" s="98"/>
    </row>
  </sheetData>
  <mergeCells count="4">
    <mergeCell ref="A1:F1"/>
    <mergeCell ref="B2:D2"/>
    <mergeCell ref="B11:D11"/>
    <mergeCell ref="E11:F11"/>
  </mergeCells>
  <hyperlinks>
    <hyperlink ref="F4" r:id="rId1" xr:uid="{1D19309D-FBAB-4FB2-BBAD-66C0D8DCE204}"/>
    <hyperlink ref="F6" r:id="rId2" location="8203;:contentReference%5Boaicite:15%5D%7Bindex=15%7D" xr:uid="{0D7A77F1-C072-4323-8AC4-A7FF797496E8}"/>
    <hyperlink ref="G6" r:id="rId3" xr:uid="{0B6A2746-80E2-4E38-AB5F-33F935F741D0}"/>
    <hyperlink ref="F5" r:id="rId4" xr:uid="{00F55019-EF5E-419D-9B79-4ED3C18A11B9}"/>
    <hyperlink ref="G5" r:id="rId5" xr:uid="{9B805B6F-13C8-4EED-BB99-BB066504EFA8}"/>
    <hyperlink ref="G4" r:id="rId6" xr:uid="{E4FE5DB9-4467-4390-AF4A-8539B3347D6D}"/>
    <hyperlink ref="F7" r:id="rId7" xr:uid="{80A7708D-8248-44FC-BE16-E38665D399E0}"/>
    <hyperlink ref="G7" r:id="rId8" xr:uid="{ACA58857-626D-4CA3-8790-6FF4B6B656EC}"/>
    <hyperlink ref="F8" r:id="rId9" xr:uid="{3F6C6679-B365-4379-A4A1-7FE59597DB39}"/>
    <hyperlink ref="G8" r:id="rId10" xr:uid="{B29F76B4-7CB1-4EC1-A076-E1982B75688F}"/>
    <hyperlink ref="F9" r:id="rId11" xr:uid="{758CC3A3-3562-4780-A9BC-97C867102B20}"/>
    <hyperlink ref="G9" r:id="rId12" xr:uid="{8000F9C9-5D75-4FB8-82F3-1E0C49DCE3C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4CD11-E3EB-419C-ADD6-E8B5BC762096}">
  <dimension ref="A1:F11"/>
  <sheetViews>
    <sheetView topLeftCell="A8" workbookViewId="0">
      <selection activeCell="B11" sqref="A11:D11"/>
    </sheetView>
  </sheetViews>
  <sheetFormatPr defaultColWidth="10.85546875" defaultRowHeight="15"/>
  <cols>
    <col min="1" max="1" width="41" customWidth="1"/>
    <col min="2" max="2" width="14.85546875" bestFit="1" customWidth="1"/>
    <col min="3" max="3" width="55.140625" customWidth="1"/>
    <col min="4" max="4" width="74" customWidth="1"/>
    <col min="5" max="5" width="45" customWidth="1"/>
    <col min="6" max="6" width="41.28515625" customWidth="1"/>
  </cols>
  <sheetData>
    <row r="1" spans="1:6" ht="25.5">
      <c r="A1" s="85" t="s">
        <v>215</v>
      </c>
      <c r="B1" s="85"/>
      <c r="C1" s="85"/>
      <c r="D1" s="85"/>
      <c r="E1" s="85"/>
      <c r="F1" s="85"/>
    </row>
    <row r="2" spans="1:6" ht="30">
      <c r="A2" s="5" t="s">
        <v>48</v>
      </c>
      <c r="B2" s="101" t="s">
        <v>49</v>
      </c>
      <c r="C2" s="103"/>
      <c r="D2" s="103"/>
      <c r="E2" s="5" t="s">
        <v>50</v>
      </c>
      <c r="F2" s="58" t="s">
        <v>51</v>
      </c>
    </row>
    <row r="3" spans="1:6">
      <c r="A3" s="8" t="s">
        <v>52</v>
      </c>
      <c r="B3" s="8" t="s">
        <v>53</v>
      </c>
      <c r="C3" s="8" t="s">
        <v>54</v>
      </c>
      <c r="D3" s="8" t="s">
        <v>89</v>
      </c>
      <c r="E3" s="8" t="s">
        <v>56</v>
      </c>
      <c r="F3" s="11" t="s">
        <v>57</v>
      </c>
    </row>
    <row r="4" spans="1:6" ht="179.25" customHeight="1">
      <c r="A4" s="6" t="s">
        <v>1</v>
      </c>
      <c r="B4" s="9">
        <v>3</v>
      </c>
      <c r="C4" s="74" t="s">
        <v>58</v>
      </c>
      <c r="D4" s="73" t="s">
        <v>216</v>
      </c>
      <c r="E4" s="75" t="s">
        <v>217</v>
      </c>
      <c r="F4" s="76" t="s">
        <v>218</v>
      </c>
    </row>
    <row r="5" spans="1:6" ht="261" customHeight="1">
      <c r="A5" s="6" t="s">
        <v>63</v>
      </c>
      <c r="B5" s="9">
        <v>-3</v>
      </c>
      <c r="C5" s="59" t="s">
        <v>64</v>
      </c>
      <c r="D5" s="77" t="s">
        <v>219</v>
      </c>
      <c r="E5" s="59" t="s">
        <v>220</v>
      </c>
      <c r="F5" s="59" t="s">
        <v>221</v>
      </c>
    </row>
    <row r="6" spans="1:6" ht="177.75" customHeight="1">
      <c r="A6" s="6" t="s">
        <v>3</v>
      </c>
      <c r="B6" s="9">
        <v>5</v>
      </c>
      <c r="C6" s="59" t="s">
        <v>68</v>
      </c>
      <c r="D6" s="7" t="s">
        <v>222</v>
      </c>
      <c r="E6" s="59" t="s">
        <v>223</v>
      </c>
      <c r="F6" s="7" t="s">
        <v>224</v>
      </c>
    </row>
    <row r="7" spans="1:6" ht="266.25" customHeight="1">
      <c r="A7" s="26" t="s">
        <v>4</v>
      </c>
      <c r="B7" s="9">
        <v>-3</v>
      </c>
      <c r="C7" s="59" t="s">
        <v>71</v>
      </c>
      <c r="D7" s="59" t="s">
        <v>225</v>
      </c>
      <c r="E7" s="59" t="s">
        <v>226</v>
      </c>
      <c r="F7" s="59" t="s">
        <v>227</v>
      </c>
    </row>
    <row r="8" spans="1:6" ht="201.75" customHeight="1">
      <c r="A8" s="6" t="s">
        <v>75</v>
      </c>
      <c r="B8" s="9">
        <v>-3</v>
      </c>
      <c r="C8" s="59" t="s">
        <v>76</v>
      </c>
      <c r="D8" s="60" t="s">
        <v>228</v>
      </c>
      <c r="E8" s="60" t="s">
        <v>229</v>
      </c>
      <c r="F8" s="59" t="s">
        <v>230</v>
      </c>
    </row>
    <row r="9" spans="1:6" ht="136.5" customHeight="1">
      <c r="A9" s="6" t="s">
        <v>81</v>
      </c>
      <c r="B9" s="9">
        <v>3</v>
      </c>
      <c r="C9" s="7" t="s">
        <v>82</v>
      </c>
      <c r="D9" s="59" t="s">
        <v>231</v>
      </c>
      <c r="E9" s="59" t="s">
        <v>232</v>
      </c>
      <c r="F9" s="59" t="s">
        <v>233</v>
      </c>
    </row>
    <row r="10" spans="1:6">
      <c r="A10" t="s">
        <v>234</v>
      </c>
      <c r="B10" s="13">
        <f>SUM(B4:B9)</f>
        <v>2</v>
      </c>
    </row>
    <row r="11" spans="1:6" ht="245.1" customHeight="1">
      <c r="A11" s="97" t="s">
        <v>235</v>
      </c>
      <c r="B11" s="100"/>
      <c r="C11" s="100"/>
      <c r="D11" s="98"/>
      <c r="E11" s="87" t="s">
        <v>236</v>
      </c>
      <c r="F11" s="88"/>
    </row>
  </sheetData>
  <mergeCells count="4">
    <mergeCell ref="A1:F1"/>
    <mergeCell ref="B2:D2"/>
    <mergeCell ref="E11:F11"/>
    <mergeCell ref="A11:D11"/>
  </mergeCells>
  <hyperlinks>
    <hyperlink ref="F4" r:id="rId1" display="https://www.euromonitor.com/beauty-and-personal-care-in-latin-america/report" xr:uid="{3913DF01-1B31-4DF2-8535-6D6C1CB0CE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 Mesa Escobar</dc:creator>
  <cp:keywords/>
  <dc:description/>
  <cp:lastModifiedBy>Isabella Ruiz Obando</cp:lastModifiedBy>
  <cp:revision/>
  <dcterms:created xsi:type="dcterms:W3CDTF">2024-01-22T23:07:58Z</dcterms:created>
  <dcterms:modified xsi:type="dcterms:W3CDTF">2025-05-14T01:39:31Z</dcterms:modified>
  <cp:category/>
  <cp:contentStatus/>
</cp:coreProperties>
</file>